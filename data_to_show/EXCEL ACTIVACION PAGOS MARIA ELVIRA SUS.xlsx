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DENCION\FUNLIDI\"/>
    </mc:Choice>
  </mc:AlternateContent>
  <xr:revisionPtr revIDLastSave="0" documentId="13_ncr:1_{CC42A79D-DAD3-4755-9E20-B4075F808804}" xr6:coauthVersionLast="47" xr6:coauthVersionMax="47" xr10:uidLastSave="{00000000-0000-0000-0000-000000000000}"/>
  <bookViews>
    <workbookView xWindow="-120" yWindow="-120" windowWidth="29040" windowHeight="15720" xr2:uid="{AA799091-8E08-46BD-9431-29ACB14A5121}"/>
  </bookViews>
  <sheets>
    <sheet name="ACTIVACION DE PAGO" sheetId="1" r:id="rId1"/>
  </sheets>
  <definedNames>
    <definedName name="_xlnm._FilterDatabase" localSheetId="0" hidden="1">'ACTIVACION DE PAGO'!$A$2:$H$107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0" i="1" l="1"/>
  <c r="O2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</calcChain>
</file>

<file path=xl/sharedStrings.xml><?xml version="1.0" encoding="utf-8"?>
<sst xmlns="http://schemas.openxmlformats.org/spreadsheetml/2006/main" count="344" uniqueCount="235">
  <si>
    <t xml:space="preserve">ACTIVACION  DE PAGO </t>
  </si>
  <si>
    <t>M22347899</t>
  </si>
  <si>
    <t>WILMER MARTIN</t>
  </si>
  <si>
    <t>M24646728</t>
  </si>
  <si>
    <t>MARIA SUS MERLANO</t>
  </si>
  <si>
    <t>M12257378</t>
  </si>
  <si>
    <t>YORLEIDA CALDERON</t>
  </si>
  <si>
    <t>M06437311</t>
  </si>
  <si>
    <t>LUIS DOMINIQUETT</t>
  </si>
  <si>
    <t>M1260649</t>
  </si>
  <si>
    <t xml:space="preserve">MARELBIS DIAZ </t>
  </si>
  <si>
    <t>M00054399</t>
  </si>
  <si>
    <t>ANGEL RODRIGUEZ</t>
  </si>
  <si>
    <t>AV615291</t>
  </si>
  <si>
    <t>M17893053</t>
  </si>
  <si>
    <t>FRANCISCO DELGADO</t>
  </si>
  <si>
    <t>29168274L</t>
  </si>
  <si>
    <t>LIDIA TRAURA</t>
  </si>
  <si>
    <t>05322879N</t>
  </si>
  <si>
    <t>M15612327</t>
  </si>
  <si>
    <t>VIORELA MUSAT</t>
  </si>
  <si>
    <t>X4904186B</t>
  </si>
  <si>
    <t>M18721388</t>
  </si>
  <si>
    <t>MARIA VASQUEZ</t>
  </si>
  <si>
    <t>N2467182</t>
  </si>
  <si>
    <t>M09364431</t>
  </si>
  <si>
    <t>PAOLA CASTAÑEDA</t>
  </si>
  <si>
    <t>M12361888</t>
  </si>
  <si>
    <t xml:space="preserve">PEDRO CARVAJAL </t>
  </si>
  <si>
    <t>M17096799</t>
  </si>
  <si>
    <t>VIGINIA DIAZ</t>
  </si>
  <si>
    <t>M25367939</t>
  </si>
  <si>
    <t>YAMILETTE  DUARTE</t>
  </si>
  <si>
    <t>M13846944</t>
  </si>
  <si>
    <t xml:space="preserve">SANDRA RENDON </t>
  </si>
  <si>
    <t>WOMPI</t>
  </si>
  <si>
    <t xml:space="preserve">SONIA BELTRAN </t>
  </si>
  <si>
    <t>M14407235</t>
  </si>
  <si>
    <t>OSCAR OVIEDO</t>
  </si>
  <si>
    <t>M11061827</t>
  </si>
  <si>
    <t>EDISON MOLINA</t>
  </si>
  <si>
    <t>MARIA SALDAÑA</t>
  </si>
  <si>
    <t>M13193073</t>
  </si>
  <si>
    <t xml:space="preserve">FABIOLA GALVIS </t>
  </si>
  <si>
    <t>Z1RRDLWN2H</t>
  </si>
  <si>
    <t xml:space="preserve">MARIA TORO </t>
  </si>
  <si>
    <t>JOSE SALAMANCA</t>
  </si>
  <si>
    <t>M19658072</t>
  </si>
  <si>
    <t>MARTHA ALVAREZ</t>
  </si>
  <si>
    <t>M13437826</t>
  </si>
  <si>
    <t xml:space="preserve">MARY CASTRO </t>
  </si>
  <si>
    <t>M15312746</t>
  </si>
  <si>
    <t>MARITZA SANCHEZ</t>
  </si>
  <si>
    <t>M25709486</t>
  </si>
  <si>
    <t>EDUARDO JULIO</t>
  </si>
  <si>
    <t xml:space="preserve">LUZ BETANCUR </t>
  </si>
  <si>
    <t>M08178825</t>
  </si>
  <si>
    <t xml:space="preserve">NICOLAS RIVERA </t>
  </si>
  <si>
    <t>PCB88CSOA8</t>
  </si>
  <si>
    <t>LAURA MUÑOZ</t>
  </si>
  <si>
    <t>YVG08CCNGH</t>
  </si>
  <si>
    <t>DANIELLY CONSTAIN</t>
  </si>
  <si>
    <t>RQW7BVPFUF</t>
  </si>
  <si>
    <t>CESAR GARCIA</t>
  </si>
  <si>
    <t>M11920354</t>
  </si>
  <si>
    <t>EMIS GOMEZ</t>
  </si>
  <si>
    <t>M00119819</t>
  </si>
  <si>
    <t>FERNANDO SERRANO</t>
  </si>
  <si>
    <t>09879542F</t>
  </si>
  <si>
    <t>M25992962</t>
  </si>
  <si>
    <t>MARIA  BIZARRO</t>
  </si>
  <si>
    <t>15259807C</t>
  </si>
  <si>
    <t>M00053486</t>
  </si>
  <si>
    <t>MARIANO LARRAURI</t>
  </si>
  <si>
    <t>78870234Z</t>
  </si>
  <si>
    <t>M06097748</t>
  </si>
  <si>
    <t xml:space="preserve">ANGEL ASAF </t>
  </si>
  <si>
    <t>M00123142</t>
  </si>
  <si>
    <t>MAXIMINO RAMIREZ</t>
  </si>
  <si>
    <t>A06076153</t>
  </si>
  <si>
    <t>M02601401</t>
  </si>
  <si>
    <t>MARIA SANCHEZ</t>
  </si>
  <si>
    <t>M3FSA2WX85</t>
  </si>
  <si>
    <t>RAFAEL ALVAREZ</t>
  </si>
  <si>
    <t>M10933892</t>
  </si>
  <si>
    <t xml:space="preserve">NIDIA OJEDA </t>
  </si>
  <si>
    <t>LIGIA RICARDO</t>
  </si>
  <si>
    <t>MARIA CASTAÑO</t>
  </si>
  <si>
    <t>M16586754</t>
  </si>
  <si>
    <t xml:space="preserve">MARTHA MACIAS </t>
  </si>
  <si>
    <t>24416679V</t>
  </si>
  <si>
    <t>M22446973</t>
  </si>
  <si>
    <t>MIREIDIS CASTILLO</t>
  </si>
  <si>
    <t>M09859125</t>
  </si>
  <si>
    <t>PEDRO PEREZ</t>
  </si>
  <si>
    <t>XWQM9FDOH7</t>
  </si>
  <si>
    <t xml:space="preserve">CLAUDIA GUETE </t>
  </si>
  <si>
    <t>M07961160</t>
  </si>
  <si>
    <t xml:space="preserve">NATALIA CEBALLOS </t>
  </si>
  <si>
    <t>836884Y</t>
  </si>
  <si>
    <t>M14505785</t>
  </si>
  <si>
    <t>LEOCADIO DELGADO</t>
  </si>
  <si>
    <t>M13058100</t>
  </si>
  <si>
    <t>LUIS ULLOA</t>
  </si>
  <si>
    <t>MSH7BGPJWJ</t>
  </si>
  <si>
    <t>JUAN BURGOS</t>
  </si>
  <si>
    <t>M24885411</t>
  </si>
  <si>
    <t>HERMES CARVAJALINO</t>
  </si>
  <si>
    <t>M12351718</t>
  </si>
  <si>
    <t xml:space="preserve">NILMA DE LOS RIOS </t>
  </si>
  <si>
    <t>M09308083</t>
  </si>
  <si>
    <t>ESTEVE SAU FADO</t>
  </si>
  <si>
    <t>46603741-Z</t>
  </si>
  <si>
    <t>M00651282</t>
  </si>
  <si>
    <t>ISABELLE MESTRALLET</t>
  </si>
  <si>
    <t>44929342s</t>
  </si>
  <si>
    <t>M00641852</t>
  </si>
  <si>
    <t>M03899372</t>
  </si>
  <si>
    <t>MARCELA PABON</t>
  </si>
  <si>
    <t>M13222442</t>
  </si>
  <si>
    <t xml:space="preserve">CARLOS CALVO </t>
  </si>
  <si>
    <t>70647718K</t>
  </si>
  <si>
    <t>M05298503</t>
  </si>
  <si>
    <t>PEDRO BUENAÑO</t>
  </si>
  <si>
    <t>M06821334</t>
  </si>
  <si>
    <t xml:space="preserve">LEXA CANTILLO </t>
  </si>
  <si>
    <t>M06559837</t>
  </si>
  <si>
    <t>MARISOL MURCIA</t>
  </si>
  <si>
    <t>M02522721</t>
  </si>
  <si>
    <t>04177657Y</t>
  </si>
  <si>
    <t>M06191986</t>
  </si>
  <si>
    <t>JOSUNE HUERTO</t>
  </si>
  <si>
    <t>72454353Y</t>
  </si>
  <si>
    <t>M01533134</t>
  </si>
  <si>
    <t>ROSINA YU HUA</t>
  </si>
  <si>
    <t>M14683095</t>
  </si>
  <si>
    <t xml:space="preserve">STEFANITH AYOLA </t>
  </si>
  <si>
    <t>KUJNCPRGIU</t>
  </si>
  <si>
    <t>CARLOS POTES</t>
  </si>
  <si>
    <t>M07129425</t>
  </si>
  <si>
    <t>MANUEL TORRES</t>
  </si>
  <si>
    <t>M14180447</t>
  </si>
  <si>
    <t>MARIO PINZON</t>
  </si>
  <si>
    <t>M05690372</t>
  </si>
  <si>
    <t>JOSE PAEZ</t>
  </si>
  <si>
    <t>M05838617</t>
  </si>
  <si>
    <t>CARLOS MARTELO</t>
  </si>
  <si>
    <t>M06026423</t>
  </si>
  <si>
    <t>LINET MORA</t>
  </si>
  <si>
    <t>M05295537</t>
  </si>
  <si>
    <t>ELIAS NAVARRO</t>
  </si>
  <si>
    <t>LJPYO3FE83</t>
  </si>
  <si>
    <t>OMAR BRICEÑO</t>
  </si>
  <si>
    <t>M02579754</t>
  </si>
  <si>
    <t>YULI GARCIA</t>
  </si>
  <si>
    <t>S2LOCIY4S4</t>
  </si>
  <si>
    <t>MIGUEL ESCOBAR</t>
  </si>
  <si>
    <t>M14410473</t>
  </si>
  <si>
    <t>ANA VEGA</t>
  </si>
  <si>
    <t>6COQCNEIAK</t>
  </si>
  <si>
    <t>ANGEL OROZCO</t>
  </si>
  <si>
    <t>LNTSADELOj</t>
  </si>
  <si>
    <t xml:space="preserve">LEDYS MOSQUERA </t>
  </si>
  <si>
    <t>M05242156</t>
  </si>
  <si>
    <t xml:space="preserve">MARIA RUIZ </t>
  </si>
  <si>
    <t>M09925990</t>
  </si>
  <si>
    <t>OSCAR MARTINEZ</t>
  </si>
  <si>
    <t>M05621790</t>
  </si>
  <si>
    <t>ALEIDA MARTINEZ</t>
  </si>
  <si>
    <t>M17368963</t>
  </si>
  <si>
    <t>VICTOR SUAREZ</t>
  </si>
  <si>
    <t>M15055423</t>
  </si>
  <si>
    <t>GIOVANNI ROBAYO</t>
  </si>
  <si>
    <t>M03959802</t>
  </si>
  <si>
    <t>JAIME BERMUDEZ</t>
  </si>
  <si>
    <t>M07112549</t>
  </si>
  <si>
    <t>LUIS VILLA</t>
  </si>
  <si>
    <t>M18063603</t>
  </si>
  <si>
    <t>HUGO QUIJANDRIA</t>
  </si>
  <si>
    <t>M01512833</t>
  </si>
  <si>
    <t>FRANCISCA REYES</t>
  </si>
  <si>
    <t>31845153C</t>
  </si>
  <si>
    <t>M23835810</t>
  </si>
  <si>
    <t>JUAN CARDENAS</t>
  </si>
  <si>
    <t>M15107352</t>
  </si>
  <si>
    <t>MAYRA DIAZ</t>
  </si>
  <si>
    <t>M24821007</t>
  </si>
  <si>
    <t>JENNIFER GUTIERREZ</t>
  </si>
  <si>
    <t>M05629747</t>
  </si>
  <si>
    <t>MAYRA AMADOR</t>
  </si>
  <si>
    <t>M17086799</t>
  </si>
  <si>
    <t>VIRGINIA DIAZ</t>
  </si>
  <si>
    <t>M02555620</t>
  </si>
  <si>
    <t>JEOVANI TORRADO</t>
  </si>
  <si>
    <t>M00087191</t>
  </si>
  <si>
    <t xml:space="preserve">CECILIA VERGARA </t>
  </si>
  <si>
    <t>ENDER BELLO</t>
  </si>
  <si>
    <t>M05658255</t>
  </si>
  <si>
    <t>MARIA LOPEZ</t>
  </si>
  <si>
    <t>44812038B</t>
  </si>
  <si>
    <t>M06645997</t>
  </si>
  <si>
    <t>MABELROBAYO</t>
  </si>
  <si>
    <t>M05386343</t>
  </si>
  <si>
    <t xml:space="preserve">MARTINA ROMERO </t>
  </si>
  <si>
    <t>77289954H</t>
  </si>
  <si>
    <t>M05421337</t>
  </si>
  <si>
    <t>ANTONIO SANCHEZ</t>
  </si>
  <si>
    <t>46517125Q</t>
  </si>
  <si>
    <t>M09716228</t>
  </si>
  <si>
    <t>IVAN VERGARA</t>
  </si>
  <si>
    <t>M17148509</t>
  </si>
  <si>
    <t>ARGENIDA ACOSTA</t>
  </si>
  <si>
    <t>R7EURLQSR</t>
  </si>
  <si>
    <t>MARIA TORO</t>
  </si>
  <si>
    <t>APIU93290</t>
  </si>
  <si>
    <t>ANTONIO ANGEL</t>
  </si>
  <si>
    <t>M04983563</t>
  </si>
  <si>
    <t xml:space="preserve">MYRIAN ROJAS </t>
  </si>
  <si>
    <t>M00125286</t>
  </si>
  <si>
    <t xml:space="preserve">LEONEL BUENDIA </t>
  </si>
  <si>
    <t>M13254210</t>
  </si>
  <si>
    <t>MARIA JOSE GARCIA</t>
  </si>
  <si>
    <t>46050479V</t>
  </si>
  <si>
    <t xml:space="preserve">VALOR </t>
  </si>
  <si>
    <t>TIPO FLAYER</t>
  </si>
  <si>
    <t>HORA</t>
  </si>
  <si>
    <t>FECHA</t>
  </si>
  <si>
    <t xml:space="preserve">REFERENCIA </t>
  </si>
  <si>
    <t xml:space="preserve">NOMBRES Y APELLIDOS </t>
  </si>
  <si>
    <t xml:space="preserve">IDENTIFICACION </t>
  </si>
  <si>
    <t>N°</t>
  </si>
  <si>
    <t xml:space="preserve">VALOR TOTAL </t>
  </si>
  <si>
    <t>CANTIDAD</t>
  </si>
  <si>
    <t>VALOR</t>
  </si>
  <si>
    <t xml:space="preserve">FLAYER MARIA ELVIRA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</si>
</sst>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5117038483843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2" fillId="0" borderId="0" xfId="0" applyNumberFormat="1" applyFont="1"/>
    <xf numFmtId="164" fontId="0" fillId="0" borderId="1" xfId="1" applyNumberFormat="1" applyFont="1" applyBorder="1"/>
    <xf numFmtId="0" fontId="0" fillId="0" borderId="1" xfId="0" applyBorder="1"/>
    <xf numFmtId="165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0" xfId="0" applyNumberFormat="1"/>
    <xf numFmtId="16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/>
    <xf numFmtId="0" fontId="2" fillId="0" borderId="2" xfId="0" applyFont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4775-364A-4E5A-BAEE-36DC64DAC4A1}">
  <dimension ref="A1:Q109"/>
  <sheetViews>
    <sheetView tabSelected="1" topLeftCell="E1" zoomScaleNormal="100" workbookViewId="0">
      <pane ySplit="2" topLeftCell="A90" activePane="bottomLeft" state="frozen"/>
      <selection pane="bottomLeft" activeCell="M2" sqref="M2:P2"/>
    </sheetView>
  </sheetViews>
  <sheetFormatPr baseColWidth="10" defaultColWidth="12.5703125" defaultRowHeight="15" x14ac:dyDescent="0.25"/>
  <cols>
    <col min="1" max="1" width="4.5703125" customWidth="1"/>
    <col min="2" max="2" width="20.28515625" style="2" customWidth="1"/>
    <col min="3" max="3" width="33.42578125" customWidth="1"/>
    <col min="4" max="4" width="17.42578125" style="1" customWidth="1"/>
    <col min="6" max="6" width="21.140625" customWidth="1"/>
    <col min="7" max="7" width="23.85546875" customWidth="1"/>
    <col min="8" max="8" width="20.28515625" customWidth="1"/>
    <col min="13" max="13" width="23.85546875" customWidth="1"/>
    <col min="14" max="14" width="14.85546875" customWidth="1"/>
    <col min="15" max="15" width="14.42578125" customWidth="1"/>
    <col min="16" max="16" width="23.85546875" customWidth="1"/>
    <col min="17" max="17" width="14.85546875" customWidth="1"/>
    <col min="18" max="18" width="23.28515625" customWidth="1"/>
  </cols>
  <sheetData>
    <row r="1" spans="1:17" x14ac:dyDescent="0.25">
      <c r="A1" s="18" t="s">
        <v>234</v>
      </c>
      <c r="B1" s="18"/>
      <c r="C1" s="18"/>
      <c r="D1" s="18"/>
      <c r="E1" s="18"/>
      <c r="F1" s="18"/>
      <c r="G1" s="18"/>
      <c r="H1" s="19"/>
      <c r="M1" s="17" t="s">
        <v>224</v>
      </c>
      <c r="N1" s="17" t="s">
        <v>233</v>
      </c>
      <c r="O1" s="17" t="s">
        <v>232</v>
      </c>
      <c r="P1" s="17" t="s">
        <v>231</v>
      </c>
    </row>
    <row r="2" spans="1:17" x14ac:dyDescent="0.25">
      <c r="A2" s="15" t="s">
        <v>230</v>
      </c>
      <c r="B2" s="15" t="s">
        <v>229</v>
      </c>
      <c r="C2" s="15" t="s">
        <v>228</v>
      </c>
      <c r="D2" s="16" t="s">
        <v>227</v>
      </c>
      <c r="E2" s="15" t="s">
        <v>226</v>
      </c>
      <c r="F2" s="15" t="s">
        <v>225</v>
      </c>
      <c r="G2" s="15" t="s">
        <v>224</v>
      </c>
      <c r="H2" s="15" t="s">
        <v>223</v>
      </c>
      <c r="M2" s="14" t="s">
        <v>0</v>
      </c>
      <c r="N2" s="13">
        <v>100000</v>
      </c>
      <c r="O2" s="12">
        <f>P2/N2</f>
        <v>105</v>
      </c>
      <c r="P2" s="11">
        <f>SUM(H3:H107)</f>
        <v>10500000</v>
      </c>
    </row>
    <row r="3" spans="1:17" x14ac:dyDescent="0.25">
      <c r="A3" s="5">
        <v>1</v>
      </c>
      <c r="B3" s="9" t="s">
        <v>222</v>
      </c>
      <c r="C3" s="5" t="s">
        <v>221</v>
      </c>
      <c r="D3" s="8" t="s">
        <v>220</v>
      </c>
      <c r="E3" s="7">
        <v>46170</v>
      </c>
      <c r="F3" s="6">
        <v>0.64236111111111105</v>
      </c>
      <c r="G3" s="5" t="s">
        <v>0</v>
      </c>
      <c r="H3" s="4">
        <f t="shared" ref="H3:H34" si="0">VLOOKUP(G3,$M$2:$N$2,2)</f>
        <v>100000</v>
      </c>
    </row>
    <row r="4" spans="1:17" x14ac:dyDescent="0.25">
      <c r="A4" s="5">
        <v>2</v>
      </c>
      <c r="B4" s="9">
        <v>1069478363</v>
      </c>
      <c r="C4" s="5" t="s">
        <v>219</v>
      </c>
      <c r="D4" s="8" t="s">
        <v>218</v>
      </c>
      <c r="E4" s="7">
        <v>46171</v>
      </c>
      <c r="F4" s="6">
        <v>6.31944444444444E-2</v>
      </c>
      <c r="G4" s="5" t="s">
        <v>0</v>
      </c>
      <c r="H4" s="4">
        <f t="shared" si="0"/>
        <v>100000</v>
      </c>
    </row>
    <row r="5" spans="1:17" x14ac:dyDescent="0.25">
      <c r="A5" s="5">
        <v>3</v>
      </c>
      <c r="B5" s="9">
        <v>51663345</v>
      </c>
      <c r="C5" s="5" t="s">
        <v>217</v>
      </c>
      <c r="D5" s="8" t="s">
        <v>216</v>
      </c>
      <c r="E5" s="7">
        <v>46170</v>
      </c>
      <c r="F5" s="6">
        <v>0.43055555555555602</v>
      </c>
      <c r="G5" s="5" t="s">
        <v>0</v>
      </c>
      <c r="H5" s="4">
        <f t="shared" si="0"/>
        <v>100000</v>
      </c>
    </row>
    <row r="6" spans="1:17" x14ac:dyDescent="0.25">
      <c r="A6" s="5">
        <v>4</v>
      </c>
      <c r="B6" s="9">
        <v>19240506</v>
      </c>
      <c r="C6" s="5" t="s">
        <v>215</v>
      </c>
      <c r="D6" s="8" t="s">
        <v>214</v>
      </c>
      <c r="E6" s="7">
        <v>46170</v>
      </c>
      <c r="F6" s="6">
        <v>0.749305555555556</v>
      </c>
      <c r="G6" s="5" t="s">
        <v>0</v>
      </c>
      <c r="H6" s="4">
        <f t="shared" si="0"/>
        <v>100000</v>
      </c>
      <c r="M6" s="20"/>
      <c r="N6" s="20"/>
      <c r="O6" s="20"/>
      <c r="P6" s="10"/>
      <c r="Q6" s="10"/>
    </row>
    <row r="7" spans="1:17" x14ac:dyDescent="0.25">
      <c r="A7" s="5">
        <v>5</v>
      </c>
      <c r="B7" s="9">
        <v>39414231</v>
      </c>
      <c r="C7" s="5" t="s">
        <v>213</v>
      </c>
      <c r="D7" s="8" t="s">
        <v>212</v>
      </c>
      <c r="E7" s="7">
        <v>46172</v>
      </c>
      <c r="F7" s="6">
        <v>0.84513888888888899</v>
      </c>
      <c r="G7" s="5" t="s">
        <v>0</v>
      </c>
      <c r="H7" s="4">
        <f t="shared" si="0"/>
        <v>100000</v>
      </c>
    </row>
    <row r="8" spans="1:17" x14ac:dyDescent="0.25">
      <c r="A8" s="5">
        <v>6</v>
      </c>
      <c r="B8" s="9">
        <v>22442069</v>
      </c>
      <c r="C8" s="5" t="s">
        <v>211</v>
      </c>
      <c r="D8" s="8" t="s">
        <v>210</v>
      </c>
      <c r="E8" s="7">
        <v>46168</v>
      </c>
      <c r="F8" s="6">
        <v>0.72916666666666696</v>
      </c>
      <c r="G8" s="5" t="s">
        <v>0</v>
      </c>
      <c r="H8" s="4">
        <f t="shared" si="0"/>
        <v>100000</v>
      </c>
    </row>
    <row r="9" spans="1:17" x14ac:dyDescent="0.25">
      <c r="A9" s="5">
        <v>7</v>
      </c>
      <c r="B9" s="9">
        <v>1064790784</v>
      </c>
      <c r="C9" s="5" t="s">
        <v>209</v>
      </c>
      <c r="D9" s="8" t="s">
        <v>208</v>
      </c>
      <c r="E9" s="7">
        <v>46170</v>
      </c>
      <c r="F9" s="6">
        <v>0.55208333333333304</v>
      </c>
      <c r="G9" s="5" t="s">
        <v>0</v>
      </c>
      <c r="H9" s="4">
        <f t="shared" si="0"/>
        <v>100000</v>
      </c>
    </row>
    <row r="10" spans="1:17" x14ac:dyDescent="0.25">
      <c r="A10" s="5">
        <v>8</v>
      </c>
      <c r="B10" s="9" t="s">
        <v>207</v>
      </c>
      <c r="C10" s="5" t="s">
        <v>206</v>
      </c>
      <c r="D10" s="8" t="s">
        <v>205</v>
      </c>
      <c r="E10" s="7">
        <v>46170</v>
      </c>
      <c r="F10" s="6">
        <v>0.44305555555555598</v>
      </c>
      <c r="G10" s="5" t="s">
        <v>0</v>
      </c>
      <c r="H10" s="4">
        <f t="shared" si="0"/>
        <v>100000</v>
      </c>
    </row>
    <row r="11" spans="1:17" x14ac:dyDescent="0.25">
      <c r="A11" s="5">
        <v>9</v>
      </c>
      <c r="B11" s="9" t="s">
        <v>204</v>
      </c>
      <c r="C11" s="5" t="s">
        <v>203</v>
      </c>
      <c r="D11" s="8" t="s">
        <v>202</v>
      </c>
      <c r="E11" s="7">
        <v>46170</v>
      </c>
      <c r="F11" s="6">
        <v>0.44166666666666698</v>
      </c>
      <c r="G11" s="5" t="s">
        <v>0</v>
      </c>
      <c r="H11" s="4">
        <f t="shared" si="0"/>
        <v>100000</v>
      </c>
    </row>
    <row r="12" spans="1:17" x14ac:dyDescent="0.25">
      <c r="A12" s="5">
        <v>10</v>
      </c>
      <c r="B12" s="9">
        <v>60366431</v>
      </c>
      <c r="C12" s="5" t="s">
        <v>201</v>
      </c>
      <c r="D12" s="8" t="s">
        <v>200</v>
      </c>
      <c r="E12" s="7">
        <v>46170</v>
      </c>
      <c r="F12" s="6">
        <v>0.48055555555555601</v>
      </c>
      <c r="G12" s="5" t="s">
        <v>0</v>
      </c>
      <c r="H12" s="4">
        <f t="shared" si="0"/>
        <v>100000</v>
      </c>
    </row>
    <row r="13" spans="1:17" x14ac:dyDescent="0.25">
      <c r="A13" s="5">
        <v>11</v>
      </c>
      <c r="B13" s="9" t="s">
        <v>199</v>
      </c>
      <c r="C13" s="5" t="s">
        <v>198</v>
      </c>
      <c r="D13" s="8" t="s">
        <v>197</v>
      </c>
      <c r="E13" s="7">
        <v>46170</v>
      </c>
      <c r="F13" s="6">
        <v>0.45</v>
      </c>
      <c r="G13" s="5" t="s">
        <v>0</v>
      </c>
      <c r="H13" s="4">
        <f t="shared" si="0"/>
        <v>100000</v>
      </c>
    </row>
    <row r="14" spans="1:17" x14ac:dyDescent="0.25">
      <c r="A14" s="5">
        <v>12</v>
      </c>
      <c r="B14" s="9">
        <v>18970051</v>
      </c>
      <c r="C14" s="5" t="s">
        <v>196</v>
      </c>
      <c r="D14" s="8">
        <v>486319</v>
      </c>
      <c r="E14" s="7">
        <v>46170</v>
      </c>
      <c r="F14" s="6">
        <v>0.45486111111111099</v>
      </c>
      <c r="G14" s="5" t="s">
        <v>0</v>
      </c>
      <c r="H14" s="4">
        <f t="shared" si="0"/>
        <v>100000</v>
      </c>
    </row>
    <row r="15" spans="1:17" x14ac:dyDescent="0.25">
      <c r="A15" s="5">
        <v>13</v>
      </c>
      <c r="B15" s="9">
        <v>30567864</v>
      </c>
      <c r="C15" s="5" t="s">
        <v>195</v>
      </c>
      <c r="D15" s="8" t="s">
        <v>194</v>
      </c>
      <c r="E15" s="7">
        <v>46171</v>
      </c>
      <c r="F15" s="6">
        <v>4.8611111111111098E-2</v>
      </c>
      <c r="G15" s="5" t="s">
        <v>0</v>
      </c>
      <c r="H15" s="4">
        <f t="shared" si="0"/>
        <v>100000</v>
      </c>
    </row>
    <row r="16" spans="1:17" x14ac:dyDescent="0.25">
      <c r="A16" s="5">
        <v>14</v>
      </c>
      <c r="B16" s="9">
        <v>88199692</v>
      </c>
      <c r="C16" s="5" t="s">
        <v>193</v>
      </c>
      <c r="D16" s="8" t="s">
        <v>192</v>
      </c>
      <c r="E16" s="7">
        <v>46166</v>
      </c>
      <c r="F16" s="6">
        <v>0.391666666666667</v>
      </c>
      <c r="G16" s="5" t="s">
        <v>0</v>
      </c>
      <c r="H16" s="4">
        <f t="shared" si="0"/>
        <v>100000</v>
      </c>
    </row>
    <row r="17" spans="1:8" x14ac:dyDescent="0.25">
      <c r="A17" s="5">
        <v>15</v>
      </c>
      <c r="B17" s="9">
        <v>45495614</v>
      </c>
      <c r="C17" s="5" t="s">
        <v>191</v>
      </c>
      <c r="D17" s="8" t="s">
        <v>190</v>
      </c>
      <c r="E17" s="7">
        <v>46167</v>
      </c>
      <c r="F17" s="6">
        <v>0.72847222222222197</v>
      </c>
      <c r="G17" s="5" t="s">
        <v>0</v>
      </c>
      <c r="H17" s="4">
        <f t="shared" si="0"/>
        <v>100000</v>
      </c>
    </row>
    <row r="18" spans="1:8" x14ac:dyDescent="0.25">
      <c r="A18" s="5">
        <v>16</v>
      </c>
      <c r="B18" s="9">
        <v>1128045058</v>
      </c>
      <c r="C18" s="5" t="s">
        <v>189</v>
      </c>
      <c r="D18" s="8" t="s">
        <v>188</v>
      </c>
      <c r="E18" s="7">
        <v>46171</v>
      </c>
      <c r="F18" s="6">
        <v>0.436805555555556</v>
      </c>
      <c r="G18" s="5" t="s">
        <v>0</v>
      </c>
      <c r="H18" s="4">
        <f t="shared" si="0"/>
        <v>100000</v>
      </c>
    </row>
    <row r="19" spans="1:8" x14ac:dyDescent="0.25">
      <c r="A19" s="5">
        <v>17</v>
      </c>
      <c r="B19" s="9">
        <v>1143344531</v>
      </c>
      <c r="C19" s="5" t="s">
        <v>187</v>
      </c>
      <c r="D19" s="8" t="s">
        <v>186</v>
      </c>
      <c r="E19" s="7">
        <v>46170</v>
      </c>
      <c r="F19" s="6">
        <v>0.91736111111111096</v>
      </c>
      <c r="G19" s="5" t="s">
        <v>0</v>
      </c>
      <c r="H19" s="4">
        <f t="shared" si="0"/>
        <v>100000</v>
      </c>
    </row>
    <row r="20" spans="1:8" x14ac:dyDescent="0.25">
      <c r="A20" s="5">
        <v>18</v>
      </c>
      <c r="B20" s="9">
        <v>45456610</v>
      </c>
      <c r="C20" s="5" t="s">
        <v>185</v>
      </c>
      <c r="D20" s="8" t="s">
        <v>184</v>
      </c>
      <c r="E20" s="7">
        <v>46167</v>
      </c>
      <c r="F20" s="6">
        <v>0.68194444444444402</v>
      </c>
      <c r="G20" s="5" t="s">
        <v>0</v>
      </c>
      <c r="H20" s="4">
        <f t="shared" si="0"/>
        <v>100000</v>
      </c>
    </row>
    <row r="21" spans="1:8" x14ac:dyDescent="0.25">
      <c r="A21" s="5">
        <v>19</v>
      </c>
      <c r="B21" s="9">
        <v>88274670</v>
      </c>
      <c r="C21" s="5" t="s">
        <v>183</v>
      </c>
      <c r="D21" s="8" t="s">
        <v>182</v>
      </c>
      <c r="E21" s="7">
        <v>46170</v>
      </c>
      <c r="F21" s="6">
        <v>0.88124999999999998</v>
      </c>
      <c r="G21" s="5" t="s">
        <v>0</v>
      </c>
      <c r="H21" s="4">
        <f t="shared" si="0"/>
        <v>100000</v>
      </c>
    </row>
    <row r="22" spans="1:8" x14ac:dyDescent="0.25">
      <c r="A22" s="5">
        <v>20</v>
      </c>
      <c r="B22" s="9" t="s">
        <v>181</v>
      </c>
      <c r="C22" s="5" t="s">
        <v>180</v>
      </c>
      <c r="D22" s="8" t="s">
        <v>179</v>
      </c>
      <c r="E22" s="7">
        <v>46171</v>
      </c>
      <c r="F22" s="6">
        <v>0.31111111111111101</v>
      </c>
      <c r="G22" s="5" t="s">
        <v>0</v>
      </c>
      <c r="H22" s="4">
        <f t="shared" si="0"/>
        <v>100000</v>
      </c>
    </row>
    <row r="23" spans="1:8" x14ac:dyDescent="0.25">
      <c r="A23" s="5">
        <v>21</v>
      </c>
      <c r="B23" s="9">
        <v>41898348</v>
      </c>
      <c r="C23" s="5" t="s">
        <v>178</v>
      </c>
      <c r="D23" s="8" t="s">
        <v>177</v>
      </c>
      <c r="E23" s="7">
        <v>46170</v>
      </c>
      <c r="F23" s="6">
        <v>0.75347222222222199</v>
      </c>
      <c r="G23" s="5" t="s">
        <v>0</v>
      </c>
      <c r="H23" s="4">
        <f t="shared" si="0"/>
        <v>100000</v>
      </c>
    </row>
    <row r="24" spans="1:8" x14ac:dyDescent="0.25">
      <c r="A24" s="5">
        <v>22</v>
      </c>
      <c r="B24" s="9">
        <v>9096827</v>
      </c>
      <c r="C24" s="5" t="s">
        <v>176</v>
      </c>
      <c r="D24" s="8" t="s">
        <v>175</v>
      </c>
      <c r="E24" s="7">
        <v>46170</v>
      </c>
      <c r="F24" s="6">
        <v>0.49375000000000002</v>
      </c>
      <c r="G24" s="5" t="s">
        <v>0</v>
      </c>
      <c r="H24" s="4">
        <f t="shared" si="0"/>
        <v>100000</v>
      </c>
    </row>
    <row r="25" spans="1:8" x14ac:dyDescent="0.25">
      <c r="A25" s="5">
        <v>23</v>
      </c>
      <c r="B25" s="9">
        <v>13443955</v>
      </c>
      <c r="C25" s="5" t="s">
        <v>174</v>
      </c>
      <c r="D25" s="8" t="s">
        <v>173</v>
      </c>
      <c r="E25" s="7">
        <v>46170</v>
      </c>
      <c r="F25" s="6">
        <v>0.39930555555555602</v>
      </c>
      <c r="G25" s="5" t="s">
        <v>0</v>
      </c>
      <c r="H25" s="4">
        <f t="shared" si="0"/>
        <v>100000</v>
      </c>
    </row>
    <row r="26" spans="1:8" x14ac:dyDescent="0.25">
      <c r="A26" s="5">
        <v>24</v>
      </c>
      <c r="B26" s="9">
        <v>88219131</v>
      </c>
      <c r="C26" s="5" t="s">
        <v>172</v>
      </c>
      <c r="D26" s="8" t="s">
        <v>171</v>
      </c>
      <c r="E26" s="7">
        <v>46166</v>
      </c>
      <c r="F26" s="6">
        <v>0.79027777777777797</v>
      </c>
      <c r="G26" s="5" t="s">
        <v>0</v>
      </c>
      <c r="H26" s="4">
        <f t="shared" si="0"/>
        <v>100000</v>
      </c>
    </row>
    <row r="27" spans="1:8" x14ac:dyDescent="0.25">
      <c r="A27" s="5">
        <v>25</v>
      </c>
      <c r="B27" s="9">
        <v>17972448</v>
      </c>
      <c r="C27" s="5" t="s">
        <v>170</v>
      </c>
      <c r="D27" s="8" t="s">
        <v>169</v>
      </c>
      <c r="E27" s="7">
        <v>46170</v>
      </c>
      <c r="F27" s="6">
        <v>0.73888888888888904</v>
      </c>
      <c r="G27" s="5" t="s">
        <v>0</v>
      </c>
      <c r="H27" s="4">
        <f t="shared" si="0"/>
        <v>100000</v>
      </c>
    </row>
    <row r="28" spans="1:8" x14ac:dyDescent="0.25">
      <c r="A28" s="5">
        <v>26</v>
      </c>
      <c r="B28" s="9">
        <v>37923289</v>
      </c>
      <c r="C28" s="5" t="s">
        <v>168</v>
      </c>
      <c r="D28" s="8" t="s">
        <v>167</v>
      </c>
      <c r="E28" s="7">
        <v>46170</v>
      </c>
      <c r="F28" s="6">
        <v>0.44930555555555601</v>
      </c>
      <c r="G28" s="5" t="s">
        <v>0</v>
      </c>
      <c r="H28" s="4">
        <f t="shared" si="0"/>
        <v>100000</v>
      </c>
    </row>
    <row r="29" spans="1:8" x14ac:dyDescent="0.25">
      <c r="A29" s="5">
        <v>27</v>
      </c>
      <c r="B29" s="9">
        <v>13504969</v>
      </c>
      <c r="C29" s="5" t="s">
        <v>166</v>
      </c>
      <c r="D29" s="8" t="s">
        <v>165</v>
      </c>
      <c r="E29" s="7">
        <v>46170</v>
      </c>
      <c r="F29" s="6">
        <v>0.55763888888888902</v>
      </c>
      <c r="G29" s="5" t="s">
        <v>0</v>
      </c>
      <c r="H29" s="4">
        <f t="shared" si="0"/>
        <v>100000</v>
      </c>
    </row>
    <row r="30" spans="1:8" x14ac:dyDescent="0.25">
      <c r="A30" s="5">
        <v>28</v>
      </c>
      <c r="B30" s="9">
        <v>1095306471</v>
      </c>
      <c r="C30" s="5" t="s">
        <v>164</v>
      </c>
      <c r="D30" s="8" t="s">
        <v>163</v>
      </c>
      <c r="E30" s="7">
        <v>46170</v>
      </c>
      <c r="F30" s="6">
        <v>0.4375</v>
      </c>
      <c r="G30" s="5" t="s">
        <v>0</v>
      </c>
      <c r="H30" s="4">
        <f t="shared" si="0"/>
        <v>100000</v>
      </c>
    </row>
    <row r="31" spans="1:8" x14ac:dyDescent="0.25">
      <c r="A31" s="5">
        <v>29</v>
      </c>
      <c r="B31" s="9">
        <v>42938904</v>
      </c>
      <c r="C31" s="5" t="s">
        <v>162</v>
      </c>
      <c r="D31" s="8" t="s">
        <v>161</v>
      </c>
      <c r="E31" s="7">
        <v>46170</v>
      </c>
      <c r="F31" s="6">
        <v>0.51736111111111105</v>
      </c>
      <c r="G31" s="5" t="s">
        <v>0</v>
      </c>
      <c r="H31" s="4">
        <f t="shared" si="0"/>
        <v>100000</v>
      </c>
    </row>
    <row r="32" spans="1:8" x14ac:dyDescent="0.25">
      <c r="A32" s="5">
        <v>30</v>
      </c>
      <c r="B32" s="9">
        <v>98553044</v>
      </c>
      <c r="C32" s="5" t="s">
        <v>160</v>
      </c>
      <c r="D32" s="8" t="s">
        <v>159</v>
      </c>
      <c r="E32" s="7">
        <v>46170</v>
      </c>
      <c r="F32" s="6">
        <v>0.67638888888888904</v>
      </c>
      <c r="G32" s="5" t="s">
        <v>0</v>
      </c>
      <c r="H32" s="4">
        <f t="shared" si="0"/>
        <v>100000</v>
      </c>
    </row>
    <row r="33" spans="1:8" x14ac:dyDescent="0.25">
      <c r="A33" s="5">
        <v>31</v>
      </c>
      <c r="B33" s="9">
        <v>57403784</v>
      </c>
      <c r="C33" s="5" t="s">
        <v>158</v>
      </c>
      <c r="D33" s="8" t="s">
        <v>157</v>
      </c>
      <c r="E33" s="7">
        <v>46169</v>
      </c>
      <c r="F33" s="6">
        <v>0.66527777777777797</v>
      </c>
      <c r="G33" s="5" t="s">
        <v>0</v>
      </c>
      <c r="H33" s="4">
        <f t="shared" si="0"/>
        <v>100000</v>
      </c>
    </row>
    <row r="34" spans="1:8" x14ac:dyDescent="0.25">
      <c r="A34" s="5">
        <v>32</v>
      </c>
      <c r="B34" s="9">
        <v>79402404</v>
      </c>
      <c r="C34" s="5" t="s">
        <v>156</v>
      </c>
      <c r="D34" s="8" t="s">
        <v>155</v>
      </c>
      <c r="E34" s="7">
        <v>46170</v>
      </c>
      <c r="F34" s="6">
        <v>0.66805555555555596</v>
      </c>
      <c r="G34" s="5" t="s">
        <v>0</v>
      </c>
      <c r="H34" s="4">
        <f t="shared" si="0"/>
        <v>100000</v>
      </c>
    </row>
    <row r="35" spans="1:8" x14ac:dyDescent="0.25">
      <c r="A35" s="5">
        <v>33</v>
      </c>
      <c r="B35" s="9">
        <v>27605767</v>
      </c>
      <c r="C35" s="5" t="s">
        <v>154</v>
      </c>
      <c r="D35" s="8" t="s">
        <v>153</v>
      </c>
      <c r="E35" s="7">
        <v>46166</v>
      </c>
      <c r="F35" s="6">
        <v>0.39305555555555599</v>
      </c>
      <c r="G35" s="5" t="s">
        <v>0</v>
      </c>
      <c r="H35" s="4">
        <f t="shared" ref="H35:H66" si="1">VLOOKUP(G35,$M$2:$N$2,2)</f>
        <v>100000</v>
      </c>
    </row>
    <row r="36" spans="1:8" x14ac:dyDescent="0.25">
      <c r="A36" s="5">
        <v>34</v>
      </c>
      <c r="B36" s="9">
        <v>88204359</v>
      </c>
      <c r="C36" s="5" t="s">
        <v>152</v>
      </c>
      <c r="D36" s="8" t="s">
        <v>151</v>
      </c>
      <c r="E36" s="7">
        <v>46166</v>
      </c>
      <c r="F36" s="6">
        <v>0.79791666666666705</v>
      </c>
      <c r="G36" s="5" t="s">
        <v>0</v>
      </c>
      <c r="H36" s="4">
        <f t="shared" si="1"/>
        <v>100000</v>
      </c>
    </row>
    <row r="37" spans="1:8" x14ac:dyDescent="0.25">
      <c r="A37" s="5">
        <v>35</v>
      </c>
      <c r="B37" s="9">
        <v>1064715234</v>
      </c>
      <c r="C37" s="5" t="s">
        <v>150</v>
      </c>
      <c r="D37" s="8" t="s">
        <v>149</v>
      </c>
      <c r="E37" s="7">
        <v>46170</v>
      </c>
      <c r="F37" s="6">
        <v>0.43888888888888899</v>
      </c>
      <c r="G37" s="5" t="s">
        <v>0</v>
      </c>
      <c r="H37" s="4">
        <f t="shared" si="1"/>
        <v>100000</v>
      </c>
    </row>
    <row r="38" spans="1:8" x14ac:dyDescent="0.25">
      <c r="A38" s="5">
        <v>36</v>
      </c>
      <c r="B38" s="9">
        <v>30571518</v>
      </c>
      <c r="C38" s="5" t="s">
        <v>148</v>
      </c>
      <c r="D38" s="8" t="s">
        <v>147</v>
      </c>
      <c r="E38" s="7">
        <v>46170</v>
      </c>
      <c r="F38" s="6">
        <v>0.46180555555555602</v>
      </c>
      <c r="G38" s="5" t="s">
        <v>0</v>
      </c>
      <c r="H38" s="4">
        <f t="shared" si="1"/>
        <v>100000</v>
      </c>
    </row>
    <row r="39" spans="1:8" x14ac:dyDescent="0.25">
      <c r="A39" s="5">
        <v>37</v>
      </c>
      <c r="B39" s="9">
        <v>1069482717</v>
      </c>
      <c r="C39" s="5" t="s">
        <v>146</v>
      </c>
      <c r="D39" s="8" t="s">
        <v>145</v>
      </c>
      <c r="E39" s="7">
        <v>46170</v>
      </c>
      <c r="F39" s="6">
        <v>0.45555555555555599</v>
      </c>
      <c r="G39" s="5" t="s">
        <v>0</v>
      </c>
      <c r="H39" s="4">
        <f t="shared" si="1"/>
        <v>100000</v>
      </c>
    </row>
    <row r="40" spans="1:8" x14ac:dyDescent="0.25">
      <c r="A40" s="5">
        <v>38</v>
      </c>
      <c r="B40" s="9">
        <v>4023083</v>
      </c>
      <c r="C40" s="5" t="s">
        <v>144</v>
      </c>
      <c r="D40" s="8" t="s">
        <v>143</v>
      </c>
      <c r="E40" s="7">
        <v>46170</v>
      </c>
      <c r="F40" s="6">
        <v>0.45138888888888901</v>
      </c>
      <c r="G40" s="5" t="s">
        <v>0</v>
      </c>
      <c r="H40" s="4">
        <f t="shared" si="1"/>
        <v>100000</v>
      </c>
    </row>
    <row r="41" spans="1:8" x14ac:dyDescent="0.25">
      <c r="A41" s="5">
        <v>39</v>
      </c>
      <c r="B41" s="9">
        <v>4252522</v>
      </c>
      <c r="C41" s="5" t="s">
        <v>142</v>
      </c>
      <c r="D41" s="8" t="s">
        <v>141</v>
      </c>
      <c r="E41" s="7">
        <v>46170</v>
      </c>
      <c r="F41" s="6">
        <v>0.66597222222222197</v>
      </c>
      <c r="G41" s="5" t="s">
        <v>0</v>
      </c>
      <c r="H41" s="4">
        <f t="shared" si="1"/>
        <v>100000</v>
      </c>
    </row>
    <row r="42" spans="1:8" x14ac:dyDescent="0.25">
      <c r="A42" s="5">
        <v>40</v>
      </c>
      <c r="B42" s="9">
        <v>7369777</v>
      </c>
      <c r="C42" s="5" t="s">
        <v>140</v>
      </c>
      <c r="D42" s="8" t="s">
        <v>139</v>
      </c>
      <c r="E42" s="7">
        <v>46170</v>
      </c>
      <c r="F42" s="6">
        <v>0.49375000000000002</v>
      </c>
      <c r="G42" s="5" t="s">
        <v>0</v>
      </c>
      <c r="H42" s="4">
        <f t="shared" si="1"/>
        <v>100000</v>
      </c>
    </row>
    <row r="43" spans="1:8" x14ac:dyDescent="0.25">
      <c r="A43" s="5">
        <v>41</v>
      </c>
      <c r="B43" s="9">
        <v>1010090143</v>
      </c>
      <c r="C43" s="5" t="s">
        <v>138</v>
      </c>
      <c r="D43" s="8" t="s">
        <v>137</v>
      </c>
      <c r="E43" s="7">
        <v>46170</v>
      </c>
      <c r="F43" s="6">
        <v>0.68125000000000002</v>
      </c>
      <c r="G43" s="5" t="s">
        <v>0</v>
      </c>
      <c r="H43" s="4">
        <f t="shared" si="1"/>
        <v>100000</v>
      </c>
    </row>
    <row r="44" spans="1:8" x14ac:dyDescent="0.25">
      <c r="A44" s="5">
        <v>42</v>
      </c>
      <c r="B44" s="9">
        <v>32781828</v>
      </c>
      <c r="C44" s="5" t="s">
        <v>136</v>
      </c>
      <c r="D44" s="8" t="s">
        <v>135</v>
      </c>
      <c r="E44" s="7">
        <v>46170</v>
      </c>
      <c r="F44" s="6">
        <v>0.67777777777777803</v>
      </c>
      <c r="G44" s="5" t="s">
        <v>0</v>
      </c>
      <c r="H44" s="4">
        <f t="shared" si="1"/>
        <v>100000</v>
      </c>
    </row>
    <row r="45" spans="1:8" x14ac:dyDescent="0.25">
      <c r="A45" s="5">
        <v>43</v>
      </c>
      <c r="B45" s="9">
        <v>538415457</v>
      </c>
      <c r="C45" s="5" t="s">
        <v>134</v>
      </c>
      <c r="D45" s="8" t="s">
        <v>133</v>
      </c>
      <c r="E45" s="7">
        <v>46170</v>
      </c>
      <c r="F45" s="6">
        <v>0.31458333333333299</v>
      </c>
      <c r="G45" s="5" t="s">
        <v>0</v>
      </c>
      <c r="H45" s="4">
        <f t="shared" si="1"/>
        <v>100000</v>
      </c>
    </row>
    <row r="46" spans="1:8" x14ac:dyDescent="0.25">
      <c r="A46" s="5">
        <v>44</v>
      </c>
      <c r="B46" s="9" t="s">
        <v>132</v>
      </c>
      <c r="C46" s="5" t="s">
        <v>131</v>
      </c>
      <c r="D46" s="8" t="s">
        <v>130</v>
      </c>
      <c r="E46" s="7">
        <v>46170</v>
      </c>
      <c r="F46" s="6">
        <v>0.46666666666666701</v>
      </c>
      <c r="G46" s="5" t="s">
        <v>0</v>
      </c>
      <c r="H46" s="4">
        <f t="shared" si="1"/>
        <v>100000</v>
      </c>
    </row>
    <row r="47" spans="1:8" x14ac:dyDescent="0.25">
      <c r="A47" s="5">
        <v>45</v>
      </c>
      <c r="B47" s="9" t="s">
        <v>129</v>
      </c>
      <c r="C47" s="5" t="s">
        <v>81</v>
      </c>
      <c r="D47" s="8" t="s">
        <v>128</v>
      </c>
      <c r="E47" s="7">
        <v>46166</v>
      </c>
      <c r="F47" s="6">
        <v>0.390277777777778</v>
      </c>
      <c r="G47" s="5" t="s">
        <v>0</v>
      </c>
      <c r="H47" s="4">
        <f t="shared" si="1"/>
        <v>100000</v>
      </c>
    </row>
    <row r="48" spans="1:8" x14ac:dyDescent="0.25">
      <c r="A48" s="5">
        <v>46</v>
      </c>
      <c r="B48" s="9">
        <v>6821829</v>
      </c>
      <c r="C48" s="5" t="s">
        <v>127</v>
      </c>
      <c r="D48" s="8" t="s">
        <v>126</v>
      </c>
      <c r="E48" s="7">
        <v>46163</v>
      </c>
      <c r="F48" s="6">
        <v>0.46736111111111101</v>
      </c>
      <c r="G48" s="5" t="s">
        <v>0</v>
      </c>
      <c r="H48" s="4">
        <f t="shared" si="1"/>
        <v>100000</v>
      </c>
    </row>
    <row r="49" spans="1:8" x14ac:dyDescent="0.25">
      <c r="A49" s="5">
        <v>47</v>
      </c>
      <c r="B49" s="9">
        <v>49725132</v>
      </c>
      <c r="C49" s="5" t="s">
        <v>125</v>
      </c>
      <c r="D49" s="8" t="s">
        <v>124</v>
      </c>
      <c r="E49" s="7">
        <v>46171</v>
      </c>
      <c r="F49" s="6">
        <v>0.46527777777777801</v>
      </c>
      <c r="G49" s="5" t="s">
        <v>0</v>
      </c>
      <c r="H49" s="4">
        <f t="shared" si="1"/>
        <v>100000</v>
      </c>
    </row>
    <row r="50" spans="1:8" x14ac:dyDescent="0.25">
      <c r="A50" s="5">
        <v>48</v>
      </c>
      <c r="B50" s="9">
        <v>1005028015</v>
      </c>
      <c r="C50" s="5" t="s">
        <v>123</v>
      </c>
      <c r="D50" s="8" t="s">
        <v>122</v>
      </c>
      <c r="E50" s="7">
        <v>46170</v>
      </c>
      <c r="F50" s="6">
        <v>0.43888888888888899</v>
      </c>
      <c r="G50" s="5" t="s">
        <v>0</v>
      </c>
      <c r="H50" s="4">
        <f t="shared" si="1"/>
        <v>100000</v>
      </c>
    </row>
    <row r="51" spans="1:8" x14ac:dyDescent="0.25">
      <c r="A51" s="5">
        <v>49</v>
      </c>
      <c r="B51" s="9" t="s">
        <v>121</v>
      </c>
      <c r="C51" s="5" t="s">
        <v>120</v>
      </c>
      <c r="D51" s="8" t="s">
        <v>119</v>
      </c>
      <c r="E51" s="7">
        <v>46170</v>
      </c>
      <c r="F51" s="6">
        <v>0.64166666666666705</v>
      </c>
      <c r="G51" s="5" t="s">
        <v>0</v>
      </c>
      <c r="H51" s="4">
        <f t="shared" si="1"/>
        <v>100000</v>
      </c>
    </row>
    <row r="52" spans="1:8" x14ac:dyDescent="0.25">
      <c r="A52" s="5">
        <v>50</v>
      </c>
      <c r="B52" s="9">
        <v>40391341</v>
      </c>
      <c r="C52" s="5" t="s">
        <v>118</v>
      </c>
      <c r="D52" s="8" t="s">
        <v>117</v>
      </c>
      <c r="E52" s="7">
        <v>46160</v>
      </c>
      <c r="F52" s="6">
        <v>0.43888888888888899</v>
      </c>
      <c r="G52" s="5" t="s">
        <v>0</v>
      </c>
      <c r="H52" s="4">
        <f t="shared" si="1"/>
        <v>100000</v>
      </c>
    </row>
    <row r="53" spans="1:8" x14ac:dyDescent="0.25">
      <c r="A53" s="5">
        <v>51</v>
      </c>
      <c r="B53" s="9" t="s">
        <v>115</v>
      </c>
      <c r="C53" s="5" t="s">
        <v>114</v>
      </c>
      <c r="D53" s="8" t="s">
        <v>116</v>
      </c>
      <c r="E53" s="7">
        <v>46167</v>
      </c>
      <c r="F53" s="6">
        <v>0.25694444444444398</v>
      </c>
      <c r="G53" s="5" t="s">
        <v>0</v>
      </c>
      <c r="H53" s="4">
        <f t="shared" si="1"/>
        <v>100000</v>
      </c>
    </row>
    <row r="54" spans="1:8" x14ac:dyDescent="0.25">
      <c r="A54" s="5">
        <v>52</v>
      </c>
      <c r="B54" s="9" t="s">
        <v>115</v>
      </c>
      <c r="C54" s="5" t="s">
        <v>114</v>
      </c>
      <c r="D54" s="8" t="s">
        <v>113</v>
      </c>
      <c r="E54" s="7">
        <v>46167</v>
      </c>
      <c r="F54" s="6">
        <v>0.25833333333333303</v>
      </c>
      <c r="G54" s="5" t="s">
        <v>0</v>
      </c>
      <c r="H54" s="4">
        <f t="shared" si="1"/>
        <v>100000</v>
      </c>
    </row>
    <row r="55" spans="1:8" x14ac:dyDescent="0.25">
      <c r="A55" s="5">
        <v>53</v>
      </c>
      <c r="B55" s="9" t="s">
        <v>112</v>
      </c>
      <c r="C55" s="5" t="s">
        <v>111</v>
      </c>
      <c r="D55" s="8" t="s">
        <v>110</v>
      </c>
      <c r="E55" s="7">
        <v>46176</v>
      </c>
      <c r="F55" s="6">
        <v>0.52222222222222203</v>
      </c>
      <c r="G55" s="5" t="s">
        <v>0</v>
      </c>
      <c r="H55" s="4">
        <f t="shared" si="1"/>
        <v>100000</v>
      </c>
    </row>
    <row r="56" spans="1:8" x14ac:dyDescent="0.25">
      <c r="A56" s="5">
        <v>54</v>
      </c>
      <c r="B56" s="9">
        <v>30567234</v>
      </c>
      <c r="C56" s="5" t="s">
        <v>109</v>
      </c>
      <c r="D56" s="8" t="s">
        <v>108</v>
      </c>
      <c r="E56" s="7">
        <v>46176</v>
      </c>
      <c r="F56" s="6">
        <v>0.59166666666666701</v>
      </c>
      <c r="G56" s="5" t="s">
        <v>0</v>
      </c>
      <c r="H56" s="4">
        <f t="shared" si="1"/>
        <v>100000</v>
      </c>
    </row>
    <row r="57" spans="1:8" x14ac:dyDescent="0.25">
      <c r="A57" s="5">
        <v>55</v>
      </c>
      <c r="B57" s="9">
        <v>18973410</v>
      </c>
      <c r="C57" s="5" t="s">
        <v>107</v>
      </c>
      <c r="D57" s="8" t="s">
        <v>106</v>
      </c>
      <c r="E57" s="7">
        <v>46170</v>
      </c>
      <c r="F57" s="6">
        <v>0.92013888888888895</v>
      </c>
      <c r="G57" s="5" t="s">
        <v>0</v>
      </c>
      <c r="H57" s="4">
        <f t="shared" si="1"/>
        <v>100000</v>
      </c>
    </row>
    <row r="58" spans="1:8" x14ac:dyDescent="0.25">
      <c r="A58" s="5">
        <v>56</v>
      </c>
      <c r="B58" s="9">
        <v>73135713</v>
      </c>
      <c r="C58" s="5" t="s">
        <v>105</v>
      </c>
      <c r="D58" s="8" t="s">
        <v>104</v>
      </c>
      <c r="E58" s="7">
        <v>46171</v>
      </c>
      <c r="F58" s="6">
        <v>0.59375</v>
      </c>
      <c r="G58" s="5" t="s">
        <v>0</v>
      </c>
      <c r="H58" s="4">
        <f t="shared" si="1"/>
        <v>100000</v>
      </c>
    </row>
    <row r="59" spans="1:8" x14ac:dyDescent="0.25">
      <c r="A59" s="5">
        <v>57</v>
      </c>
      <c r="B59" s="9">
        <v>16276293</v>
      </c>
      <c r="C59" s="5" t="s">
        <v>103</v>
      </c>
      <c r="D59" s="8" t="s">
        <v>102</v>
      </c>
      <c r="E59" s="7">
        <v>46171</v>
      </c>
      <c r="F59" s="6">
        <v>0.60069444444444398</v>
      </c>
      <c r="G59" s="5" t="s">
        <v>0</v>
      </c>
      <c r="H59" s="4">
        <f t="shared" si="1"/>
        <v>100000</v>
      </c>
    </row>
    <row r="60" spans="1:8" x14ac:dyDescent="0.25">
      <c r="A60" s="5">
        <v>58</v>
      </c>
      <c r="B60" s="9">
        <v>11322639</v>
      </c>
      <c r="C60" s="5" t="s">
        <v>101</v>
      </c>
      <c r="D60" s="8" t="s">
        <v>100</v>
      </c>
      <c r="E60" s="7">
        <v>46170</v>
      </c>
      <c r="F60" s="6">
        <v>0.67361111111111105</v>
      </c>
      <c r="G60" s="5" t="s">
        <v>0</v>
      </c>
      <c r="H60" s="4">
        <f t="shared" si="1"/>
        <v>100000</v>
      </c>
    </row>
    <row r="61" spans="1:8" x14ac:dyDescent="0.25">
      <c r="A61" s="5">
        <v>59</v>
      </c>
      <c r="B61" s="9" t="s">
        <v>99</v>
      </c>
      <c r="C61" s="5" t="s">
        <v>98</v>
      </c>
      <c r="D61" s="8" t="s">
        <v>97</v>
      </c>
      <c r="E61" s="7">
        <v>46168</v>
      </c>
      <c r="F61" s="6">
        <v>0.50624999999999998</v>
      </c>
      <c r="G61" s="5" t="s">
        <v>0</v>
      </c>
      <c r="H61" s="4">
        <f t="shared" si="1"/>
        <v>100000</v>
      </c>
    </row>
    <row r="62" spans="1:8" x14ac:dyDescent="0.25">
      <c r="A62" s="5">
        <v>60</v>
      </c>
      <c r="B62" s="9">
        <v>30774462</v>
      </c>
      <c r="C62" s="5" t="s">
        <v>96</v>
      </c>
      <c r="D62" s="8" t="s">
        <v>95</v>
      </c>
      <c r="E62" s="7">
        <v>46171</v>
      </c>
      <c r="F62" s="6">
        <v>0.45138888888888901</v>
      </c>
      <c r="G62" s="5" t="s">
        <v>0</v>
      </c>
      <c r="H62" s="4">
        <f t="shared" si="1"/>
        <v>100000</v>
      </c>
    </row>
    <row r="63" spans="1:8" x14ac:dyDescent="0.25">
      <c r="A63" s="5">
        <v>61</v>
      </c>
      <c r="B63" s="9">
        <v>1066101342</v>
      </c>
      <c r="C63" s="5" t="s">
        <v>94</v>
      </c>
      <c r="D63" s="8" t="s">
        <v>93</v>
      </c>
      <c r="E63" s="7">
        <v>46170</v>
      </c>
      <c r="F63" s="6">
        <v>0.55555555555555602</v>
      </c>
      <c r="G63" s="5" t="s">
        <v>0</v>
      </c>
      <c r="H63" s="4">
        <f t="shared" si="1"/>
        <v>100000</v>
      </c>
    </row>
    <row r="64" spans="1:8" x14ac:dyDescent="0.25">
      <c r="A64" s="5">
        <v>62</v>
      </c>
      <c r="B64" s="9">
        <v>1092349097</v>
      </c>
      <c r="C64" s="5" t="s">
        <v>92</v>
      </c>
      <c r="D64" s="8" t="s">
        <v>91</v>
      </c>
      <c r="E64" s="7">
        <v>46170</v>
      </c>
      <c r="F64" s="6">
        <v>0.84513888888888899</v>
      </c>
      <c r="G64" s="5" t="s">
        <v>0</v>
      </c>
      <c r="H64" s="4">
        <f t="shared" si="1"/>
        <v>100000</v>
      </c>
    </row>
    <row r="65" spans="1:8" x14ac:dyDescent="0.25">
      <c r="A65" s="5">
        <v>63</v>
      </c>
      <c r="B65" s="9" t="s">
        <v>90</v>
      </c>
      <c r="C65" s="5" t="s">
        <v>89</v>
      </c>
      <c r="D65" s="8" t="s">
        <v>88</v>
      </c>
      <c r="E65" s="7">
        <v>46170</v>
      </c>
      <c r="F65" s="6">
        <v>0.72152777777777799</v>
      </c>
      <c r="G65" s="5" t="s">
        <v>0</v>
      </c>
      <c r="H65" s="4">
        <f t="shared" si="1"/>
        <v>100000</v>
      </c>
    </row>
    <row r="66" spans="1:8" x14ac:dyDescent="0.25">
      <c r="A66" s="5">
        <v>64</v>
      </c>
      <c r="B66" s="9">
        <v>48818533</v>
      </c>
      <c r="C66" s="5" t="s">
        <v>87</v>
      </c>
      <c r="D66" s="8">
        <v>700280</v>
      </c>
      <c r="E66" s="7">
        <v>46170</v>
      </c>
      <c r="F66" s="6">
        <v>0.82569444444444395</v>
      </c>
      <c r="G66" s="5" t="s">
        <v>0</v>
      </c>
      <c r="H66" s="4">
        <f t="shared" si="1"/>
        <v>100000</v>
      </c>
    </row>
    <row r="67" spans="1:8" x14ac:dyDescent="0.25">
      <c r="A67" s="5">
        <v>65</v>
      </c>
      <c r="B67" s="9">
        <v>43044677</v>
      </c>
      <c r="C67" s="5" t="s">
        <v>86</v>
      </c>
      <c r="D67" s="8">
        <v>532283</v>
      </c>
      <c r="E67" s="7">
        <v>46170</v>
      </c>
      <c r="F67" s="6">
        <v>0.47708333333333303</v>
      </c>
      <c r="G67" s="5" t="s">
        <v>0</v>
      </c>
      <c r="H67" s="4">
        <f t="shared" ref="H67:H98" si="2">VLOOKUP(G67,$M$2:$N$2,2)</f>
        <v>100000</v>
      </c>
    </row>
    <row r="68" spans="1:8" x14ac:dyDescent="0.25">
      <c r="A68" s="5">
        <v>66</v>
      </c>
      <c r="B68" s="9">
        <v>30572405</v>
      </c>
      <c r="C68" s="5" t="s">
        <v>85</v>
      </c>
      <c r="D68" s="8" t="s">
        <v>84</v>
      </c>
      <c r="E68" s="7">
        <v>46170</v>
      </c>
      <c r="F68" s="6">
        <v>0.58263888888888904</v>
      </c>
      <c r="G68" s="5" t="s">
        <v>0</v>
      </c>
      <c r="H68" s="4">
        <f t="shared" si="2"/>
        <v>100000</v>
      </c>
    </row>
    <row r="69" spans="1:8" x14ac:dyDescent="0.25">
      <c r="A69" s="5">
        <v>67</v>
      </c>
      <c r="B69" s="9">
        <v>88228206</v>
      </c>
      <c r="C69" s="5" t="s">
        <v>83</v>
      </c>
      <c r="D69" s="8" t="s">
        <v>82</v>
      </c>
      <c r="E69" s="7">
        <v>46170</v>
      </c>
      <c r="F69" s="6">
        <v>0.49652777777777801</v>
      </c>
      <c r="G69" s="5" t="s">
        <v>0</v>
      </c>
      <c r="H69" s="4">
        <f t="shared" si="2"/>
        <v>100000</v>
      </c>
    </row>
    <row r="70" spans="1:8" x14ac:dyDescent="0.25">
      <c r="A70" s="5">
        <v>68</v>
      </c>
      <c r="B70" s="9">
        <v>1090371069</v>
      </c>
      <c r="C70" s="5" t="s">
        <v>81</v>
      </c>
      <c r="D70" s="8" t="s">
        <v>80</v>
      </c>
      <c r="E70" s="7">
        <v>46166</v>
      </c>
      <c r="F70" s="6">
        <v>0.39374999999999999</v>
      </c>
      <c r="G70" s="5" t="s">
        <v>0</v>
      </c>
      <c r="H70" s="4">
        <f t="shared" si="2"/>
        <v>100000</v>
      </c>
    </row>
    <row r="71" spans="1:8" x14ac:dyDescent="0.25">
      <c r="A71" s="5">
        <v>69</v>
      </c>
      <c r="B71" s="9" t="s">
        <v>79</v>
      </c>
      <c r="C71" s="5" t="s">
        <v>78</v>
      </c>
      <c r="D71" s="8" t="s">
        <v>77</v>
      </c>
      <c r="E71" s="7">
        <v>46171</v>
      </c>
      <c r="F71" s="6">
        <v>6.18055555555556E-2</v>
      </c>
      <c r="G71" s="5" t="s">
        <v>0</v>
      </c>
      <c r="H71" s="4">
        <f t="shared" si="2"/>
        <v>100000</v>
      </c>
    </row>
    <row r="72" spans="1:8" x14ac:dyDescent="0.25">
      <c r="A72" s="5">
        <v>70</v>
      </c>
      <c r="B72" s="9">
        <v>79419105</v>
      </c>
      <c r="C72" s="5" t="s">
        <v>76</v>
      </c>
      <c r="D72" s="8" t="s">
        <v>75</v>
      </c>
      <c r="E72" s="7">
        <v>46170</v>
      </c>
      <c r="F72" s="6">
        <v>0.46388888888888902</v>
      </c>
      <c r="G72" s="5" t="s">
        <v>0</v>
      </c>
      <c r="H72" s="4">
        <f t="shared" si="2"/>
        <v>100000</v>
      </c>
    </row>
    <row r="73" spans="1:8" x14ac:dyDescent="0.25">
      <c r="A73" s="5">
        <v>71</v>
      </c>
      <c r="B73" s="9" t="s">
        <v>74</v>
      </c>
      <c r="C73" s="5" t="s">
        <v>73</v>
      </c>
      <c r="D73" s="8" t="s">
        <v>72</v>
      </c>
      <c r="E73" s="7">
        <v>46171</v>
      </c>
      <c r="F73" s="6">
        <v>3.7499999999999999E-2</v>
      </c>
      <c r="G73" s="5" t="s">
        <v>0</v>
      </c>
      <c r="H73" s="4">
        <f t="shared" si="2"/>
        <v>100000</v>
      </c>
    </row>
    <row r="74" spans="1:8" x14ac:dyDescent="0.25">
      <c r="A74" s="5">
        <v>72</v>
      </c>
      <c r="B74" s="9" t="s">
        <v>71</v>
      </c>
      <c r="C74" s="5" t="s">
        <v>70</v>
      </c>
      <c r="D74" s="8" t="s">
        <v>69</v>
      </c>
      <c r="E74" s="7">
        <v>46171</v>
      </c>
      <c r="F74" s="6">
        <v>2.36111111111111E-2</v>
      </c>
      <c r="G74" s="5" t="s">
        <v>0</v>
      </c>
      <c r="H74" s="4">
        <f t="shared" si="2"/>
        <v>100000</v>
      </c>
    </row>
    <row r="75" spans="1:8" x14ac:dyDescent="0.25">
      <c r="A75" s="5">
        <v>73</v>
      </c>
      <c r="B75" s="9" t="s">
        <v>68</v>
      </c>
      <c r="C75" s="5" t="s">
        <v>67</v>
      </c>
      <c r="D75" s="8" t="s">
        <v>66</v>
      </c>
      <c r="E75" s="7">
        <v>46171</v>
      </c>
      <c r="F75" s="6">
        <v>6.0416666666666702E-2</v>
      </c>
      <c r="G75" s="5" t="s">
        <v>0</v>
      </c>
      <c r="H75" s="4">
        <f t="shared" si="2"/>
        <v>100000</v>
      </c>
    </row>
    <row r="76" spans="1:8" x14ac:dyDescent="0.25">
      <c r="A76" s="5">
        <v>74</v>
      </c>
      <c r="B76" s="9">
        <v>11041029</v>
      </c>
      <c r="C76" s="5" t="s">
        <v>65</v>
      </c>
      <c r="D76" s="8" t="s">
        <v>64</v>
      </c>
      <c r="E76" s="7">
        <v>46170</v>
      </c>
      <c r="F76" s="6">
        <v>0.60833333333333295</v>
      </c>
      <c r="G76" s="5" t="s">
        <v>0</v>
      </c>
      <c r="H76" s="4">
        <f t="shared" si="2"/>
        <v>100000</v>
      </c>
    </row>
    <row r="77" spans="1:8" x14ac:dyDescent="0.25">
      <c r="A77" s="5">
        <v>75</v>
      </c>
      <c r="B77" s="9">
        <v>80062089</v>
      </c>
      <c r="C77" s="5" t="s">
        <v>63</v>
      </c>
      <c r="D77" s="8" t="s">
        <v>62</v>
      </c>
      <c r="E77" s="7">
        <v>46170</v>
      </c>
      <c r="F77" s="6">
        <v>0.62291666666666701</v>
      </c>
      <c r="G77" s="5" t="s">
        <v>0</v>
      </c>
      <c r="H77" s="4">
        <f t="shared" si="2"/>
        <v>100000</v>
      </c>
    </row>
    <row r="78" spans="1:8" x14ac:dyDescent="0.25">
      <c r="A78" s="5">
        <v>76</v>
      </c>
      <c r="B78" s="9">
        <v>674930522</v>
      </c>
      <c r="C78" s="5" t="s">
        <v>61</v>
      </c>
      <c r="D78" s="8" t="s">
        <v>60</v>
      </c>
      <c r="E78" s="7">
        <v>46160</v>
      </c>
      <c r="F78" s="6">
        <v>0.66666666666666696</v>
      </c>
      <c r="G78" s="5" t="s">
        <v>0</v>
      </c>
      <c r="H78" s="4">
        <f t="shared" si="2"/>
        <v>100000</v>
      </c>
    </row>
    <row r="79" spans="1:8" x14ac:dyDescent="0.25">
      <c r="A79" s="5">
        <v>77</v>
      </c>
      <c r="B79" s="9">
        <v>664670730</v>
      </c>
      <c r="C79" s="5" t="s">
        <v>59</v>
      </c>
      <c r="D79" s="8" t="s">
        <v>58</v>
      </c>
      <c r="E79" s="7">
        <v>46160</v>
      </c>
      <c r="F79" s="6">
        <v>0.66805555555555596</v>
      </c>
      <c r="G79" s="5" t="s">
        <v>0</v>
      </c>
      <c r="H79" s="4">
        <f t="shared" si="2"/>
        <v>100000</v>
      </c>
    </row>
    <row r="80" spans="1:8" x14ac:dyDescent="0.25">
      <c r="A80" s="5">
        <v>78</v>
      </c>
      <c r="B80" s="9">
        <v>1069480687</v>
      </c>
      <c r="C80" s="5" t="s">
        <v>57</v>
      </c>
      <c r="D80" s="8" t="s">
        <v>56</v>
      </c>
      <c r="E80" s="7">
        <v>46170</v>
      </c>
      <c r="F80" s="6">
        <v>0.51805555555555605</v>
      </c>
      <c r="G80" s="5" t="s">
        <v>0</v>
      </c>
      <c r="H80" s="4">
        <f t="shared" si="2"/>
        <v>100000</v>
      </c>
    </row>
    <row r="81" spans="1:16" x14ac:dyDescent="0.25">
      <c r="A81" s="5">
        <v>79</v>
      </c>
      <c r="B81" s="9">
        <v>43519943</v>
      </c>
      <c r="C81" s="5" t="s">
        <v>55</v>
      </c>
      <c r="D81" s="8">
        <v>306410</v>
      </c>
      <c r="E81" s="7">
        <v>46170</v>
      </c>
      <c r="F81" s="6">
        <v>0.43888888888888899</v>
      </c>
      <c r="G81" s="5" t="s">
        <v>0</v>
      </c>
      <c r="H81" s="4">
        <f t="shared" si="2"/>
        <v>100000</v>
      </c>
    </row>
    <row r="82" spans="1:16" x14ac:dyDescent="0.25">
      <c r="A82" s="5">
        <v>80</v>
      </c>
      <c r="B82" s="9">
        <v>73088140</v>
      </c>
      <c r="C82" s="5" t="s">
        <v>54</v>
      </c>
      <c r="D82" s="8" t="s">
        <v>53</v>
      </c>
      <c r="E82" s="7">
        <v>46170</v>
      </c>
      <c r="F82" s="6">
        <v>0.99166666666666703</v>
      </c>
      <c r="G82" s="5" t="s">
        <v>0</v>
      </c>
      <c r="H82" s="4">
        <f t="shared" si="2"/>
        <v>100000</v>
      </c>
    </row>
    <row r="83" spans="1:16" x14ac:dyDescent="0.25">
      <c r="A83" s="5">
        <v>81</v>
      </c>
      <c r="B83" s="9">
        <v>49553431</v>
      </c>
      <c r="C83" s="5" t="s">
        <v>52</v>
      </c>
      <c r="D83" s="8" t="s">
        <v>51</v>
      </c>
      <c r="E83" s="7">
        <v>46170</v>
      </c>
      <c r="F83" s="6">
        <v>0.69236111111111098</v>
      </c>
      <c r="G83" s="5" t="s">
        <v>0</v>
      </c>
      <c r="H83" s="4">
        <f t="shared" si="2"/>
        <v>100000</v>
      </c>
    </row>
    <row r="84" spans="1:16" x14ac:dyDescent="0.25">
      <c r="A84" s="5">
        <v>82</v>
      </c>
      <c r="B84" s="9">
        <v>46668281</v>
      </c>
      <c r="C84" s="5" t="s">
        <v>50</v>
      </c>
      <c r="D84" s="8" t="s">
        <v>49</v>
      </c>
      <c r="E84" s="7">
        <v>46170</v>
      </c>
      <c r="F84" s="6">
        <v>0.64722222222222203</v>
      </c>
      <c r="G84" s="5" t="s">
        <v>0</v>
      </c>
      <c r="H84" s="4">
        <f t="shared" si="2"/>
        <v>100000</v>
      </c>
    </row>
    <row r="85" spans="1:16" x14ac:dyDescent="0.25">
      <c r="A85" s="5">
        <v>83</v>
      </c>
      <c r="B85" s="9">
        <v>39327132</v>
      </c>
      <c r="C85" s="5" t="s">
        <v>48</v>
      </c>
      <c r="D85" s="8" t="s">
        <v>47</v>
      </c>
      <c r="E85" s="7">
        <v>46170</v>
      </c>
      <c r="F85" s="6">
        <v>0.78611111111111098</v>
      </c>
      <c r="G85" s="5" t="s">
        <v>0</v>
      </c>
      <c r="H85" s="4">
        <f t="shared" si="2"/>
        <v>100000</v>
      </c>
    </row>
    <row r="86" spans="1:16" x14ac:dyDescent="0.25">
      <c r="A86" s="5">
        <v>84</v>
      </c>
      <c r="B86" s="9">
        <v>12229423</v>
      </c>
      <c r="C86" s="5" t="s">
        <v>46</v>
      </c>
      <c r="D86" s="8">
        <v>317339</v>
      </c>
      <c r="E86" s="7">
        <v>46168</v>
      </c>
      <c r="F86" s="6">
        <v>0.59652777777777799</v>
      </c>
      <c r="G86" s="5" t="s">
        <v>0</v>
      </c>
      <c r="H86" s="4">
        <f t="shared" si="2"/>
        <v>100000</v>
      </c>
    </row>
    <row r="87" spans="1:16" x14ac:dyDescent="0.25">
      <c r="A87" s="5">
        <v>85</v>
      </c>
      <c r="B87" s="9">
        <v>39414231</v>
      </c>
      <c r="C87" s="5" t="s">
        <v>45</v>
      </c>
      <c r="D87" s="8" t="s">
        <v>44</v>
      </c>
      <c r="E87" s="7">
        <v>46170</v>
      </c>
      <c r="F87" s="6">
        <v>0.74375000000000002</v>
      </c>
      <c r="G87" s="5" t="s">
        <v>0</v>
      </c>
      <c r="H87" s="4">
        <f t="shared" si="2"/>
        <v>100000</v>
      </c>
    </row>
    <row r="88" spans="1:16" x14ac:dyDescent="0.25">
      <c r="A88" s="5">
        <v>86</v>
      </c>
      <c r="B88" s="9">
        <v>41545285</v>
      </c>
      <c r="C88" s="5" t="s">
        <v>43</v>
      </c>
      <c r="D88" s="8" t="s">
        <v>42</v>
      </c>
      <c r="E88" s="7">
        <v>46170</v>
      </c>
      <c r="F88" s="6">
        <v>0.64722222222222203</v>
      </c>
      <c r="G88" s="5" t="s">
        <v>0</v>
      </c>
      <c r="H88" s="4">
        <f t="shared" si="2"/>
        <v>100000</v>
      </c>
    </row>
    <row r="89" spans="1:16" x14ac:dyDescent="0.25">
      <c r="A89" s="5">
        <v>87</v>
      </c>
      <c r="B89" s="9">
        <v>41755549</v>
      </c>
      <c r="C89" s="5" t="s">
        <v>41</v>
      </c>
      <c r="D89" s="8">
        <v>48265</v>
      </c>
      <c r="E89" s="7">
        <v>46170</v>
      </c>
      <c r="F89" s="6">
        <v>0.438194444444444</v>
      </c>
      <c r="G89" s="5" t="s">
        <v>0</v>
      </c>
      <c r="H89" s="4">
        <f t="shared" si="2"/>
        <v>100000</v>
      </c>
    </row>
    <row r="90" spans="1:16" x14ac:dyDescent="0.25">
      <c r="A90" s="5">
        <v>88</v>
      </c>
      <c r="B90" s="9">
        <v>1017142723</v>
      </c>
      <c r="C90" s="5" t="s">
        <v>40</v>
      </c>
      <c r="D90" s="8" t="s">
        <v>39</v>
      </c>
      <c r="E90" s="7">
        <v>46171</v>
      </c>
      <c r="F90" s="6">
        <v>0.55694444444444402</v>
      </c>
      <c r="G90" s="5" t="s">
        <v>0</v>
      </c>
      <c r="H90" s="4">
        <f t="shared" si="2"/>
        <v>100000</v>
      </c>
      <c r="P90" s="3">
        <f>SUM(P2)</f>
        <v>10500000</v>
      </c>
    </row>
    <row r="91" spans="1:16" x14ac:dyDescent="0.25">
      <c r="A91" s="5">
        <v>89</v>
      </c>
      <c r="B91" s="9">
        <v>401290389</v>
      </c>
      <c r="C91" s="5" t="s">
        <v>38</v>
      </c>
      <c r="D91" s="8" t="s">
        <v>37</v>
      </c>
      <c r="E91" s="7">
        <v>46171</v>
      </c>
      <c r="F91" s="6">
        <v>0.63055555555555598</v>
      </c>
      <c r="G91" s="5" t="s">
        <v>0</v>
      </c>
      <c r="H91" s="4">
        <f t="shared" si="2"/>
        <v>100000</v>
      </c>
    </row>
    <row r="92" spans="1:16" x14ac:dyDescent="0.25">
      <c r="A92" s="5">
        <v>90</v>
      </c>
      <c r="B92" s="9">
        <v>51829306</v>
      </c>
      <c r="C92" s="5" t="s">
        <v>36</v>
      </c>
      <c r="D92" s="8" t="s">
        <v>35</v>
      </c>
      <c r="E92" s="7">
        <v>46170</v>
      </c>
      <c r="F92" s="6">
        <v>0.55277777777777803</v>
      </c>
      <c r="G92" s="5" t="s">
        <v>0</v>
      </c>
      <c r="H92" s="4">
        <f t="shared" si="2"/>
        <v>100000</v>
      </c>
    </row>
    <row r="93" spans="1:16" x14ac:dyDescent="0.25">
      <c r="A93" s="5">
        <v>91</v>
      </c>
      <c r="B93" s="9">
        <v>3945218</v>
      </c>
      <c r="C93" s="5" t="s">
        <v>34</v>
      </c>
      <c r="D93" s="8" t="s">
        <v>33</v>
      </c>
      <c r="E93" s="7">
        <v>46170</v>
      </c>
      <c r="F93" s="6">
        <v>0.65763888888888899</v>
      </c>
      <c r="G93" s="5" t="s">
        <v>0</v>
      </c>
      <c r="H93" s="4">
        <f t="shared" si="2"/>
        <v>100000</v>
      </c>
    </row>
    <row r="94" spans="1:16" x14ac:dyDescent="0.25">
      <c r="A94" s="5">
        <v>92</v>
      </c>
      <c r="B94" s="9">
        <v>602340934</v>
      </c>
      <c r="C94" s="5" t="s">
        <v>32</v>
      </c>
      <c r="D94" s="8" t="s">
        <v>31</v>
      </c>
      <c r="E94" s="7">
        <v>46169</v>
      </c>
      <c r="F94" s="6">
        <v>0.95486111111111105</v>
      </c>
      <c r="G94" s="5" t="s">
        <v>0</v>
      </c>
      <c r="H94" s="4">
        <f t="shared" si="2"/>
        <v>100000</v>
      </c>
    </row>
    <row r="95" spans="1:16" x14ac:dyDescent="0.25">
      <c r="A95" s="5">
        <v>93</v>
      </c>
      <c r="B95" s="9">
        <v>45495614</v>
      </c>
      <c r="C95" s="5" t="s">
        <v>30</v>
      </c>
      <c r="D95" s="8" t="s">
        <v>29</v>
      </c>
      <c r="E95" s="7">
        <v>46167</v>
      </c>
      <c r="F95" s="6">
        <v>0.72847222222222197</v>
      </c>
      <c r="G95" s="5" t="s">
        <v>0</v>
      </c>
      <c r="H95" s="4">
        <f t="shared" si="2"/>
        <v>100000</v>
      </c>
    </row>
    <row r="96" spans="1:16" x14ac:dyDescent="0.25">
      <c r="A96" s="5">
        <v>94</v>
      </c>
      <c r="B96" s="9">
        <v>134482142</v>
      </c>
      <c r="C96" s="5" t="s">
        <v>28</v>
      </c>
      <c r="D96" s="8" t="s">
        <v>27</v>
      </c>
      <c r="E96" s="7">
        <v>46170</v>
      </c>
      <c r="F96" s="6">
        <v>0.61944444444444402</v>
      </c>
      <c r="G96" s="5" t="s">
        <v>0</v>
      </c>
      <c r="H96" s="4">
        <f t="shared" si="2"/>
        <v>100000</v>
      </c>
    </row>
    <row r="97" spans="1:8" x14ac:dyDescent="0.25">
      <c r="A97" s="5">
        <v>95</v>
      </c>
      <c r="B97" s="9">
        <v>29785863</v>
      </c>
      <c r="C97" s="5" t="s">
        <v>26</v>
      </c>
      <c r="D97" s="8" t="s">
        <v>25</v>
      </c>
      <c r="E97" s="7">
        <v>46166</v>
      </c>
      <c r="F97" s="6">
        <v>0.61319444444444404</v>
      </c>
      <c r="G97" s="5" t="s">
        <v>0</v>
      </c>
      <c r="H97" s="4">
        <f t="shared" si="2"/>
        <v>100000</v>
      </c>
    </row>
    <row r="98" spans="1:8" x14ac:dyDescent="0.25">
      <c r="A98" s="5">
        <v>96</v>
      </c>
      <c r="B98" s="9" t="s">
        <v>24</v>
      </c>
      <c r="C98" s="5" t="s">
        <v>23</v>
      </c>
      <c r="D98" s="8" t="s">
        <v>22</v>
      </c>
      <c r="E98" s="7">
        <v>46171</v>
      </c>
      <c r="F98" s="6">
        <v>0.718055555555556</v>
      </c>
      <c r="G98" s="5" t="s">
        <v>0</v>
      </c>
      <c r="H98" s="4">
        <f t="shared" si="2"/>
        <v>100000</v>
      </c>
    </row>
    <row r="99" spans="1:8" x14ac:dyDescent="0.25">
      <c r="A99" s="5">
        <v>97</v>
      </c>
      <c r="B99" s="9" t="s">
        <v>21</v>
      </c>
      <c r="C99" s="5" t="s">
        <v>20</v>
      </c>
      <c r="D99" s="8" t="s">
        <v>19</v>
      </c>
      <c r="E99" s="7">
        <v>46162</v>
      </c>
      <c r="F99" s="6">
        <v>0.68333333333333302</v>
      </c>
      <c r="G99" s="5" t="s">
        <v>0</v>
      </c>
      <c r="H99" s="4">
        <f t="shared" ref="H99:H107" si="3">VLOOKUP(G99,$M$2:$N$2,2)</f>
        <v>100000</v>
      </c>
    </row>
    <row r="100" spans="1:8" x14ac:dyDescent="0.25">
      <c r="A100" s="5">
        <v>98</v>
      </c>
      <c r="B100" s="9" t="s">
        <v>18</v>
      </c>
      <c r="C100" s="5" t="s">
        <v>17</v>
      </c>
      <c r="D100" s="8">
        <v>21241377800</v>
      </c>
      <c r="E100" s="7">
        <v>46172</v>
      </c>
      <c r="F100" s="6">
        <v>0.59791666666666698</v>
      </c>
      <c r="G100" s="5" t="s">
        <v>0</v>
      </c>
      <c r="H100" s="4">
        <f t="shared" si="3"/>
        <v>100000</v>
      </c>
    </row>
    <row r="101" spans="1:8" x14ac:dyDescent="0.25">
      <c r="A101" s="5">
        <v>99</v>
      </c>
      <c r="B101" s="9" t="s">
        <v>16</v>
      </c>
      <c r="C101" s="5" t="s">
        <v>15</v>
      </c>
      <c r="D101" s="8" t="s">
        <v>14</v>
      </c>
      <c r="E101" s="7">
        <v>46170</v>
      </c>
      <c r="F101" s="6">
        <v>0.75</v>
      </c>
      <c r="G101" s="5" t="s">
        <v>0</v>
      </c>
      <c r="H101" s="4">
        <f t="shared" si="3"/>
        <v>100000</v>
      </c>
    </row>
    <row r="102" spans="1:8" x14ac:dyDescent="0.25">
      <c r="A102" s="5">
        <v>100</v>
      </c>
      <c r="B102" s="9" t="s">
        <v>13</v>
      </c>
      <c r="C102" s="5" t="s">
        <v>12</v>
      </c>
      <c r="D102" s="8" t="s">
        <v>11</v>
      </c>
      <c r="E102" s="7">
        <v>46172</v>
      </c>
      <c r="F102" s="6">
        <v>3.54166666666667E-2</v>
      </c>
      <c r="G102" s="5" t="s">
        <v>0</v>
      </c>
      <c r="H102" s="4">
        <f t="shared" si="3"/>
        <v>100000</v>
      </c>
    </row>
    <row r="103" spans="1:8" x14ac:dyDescent="0.25">
      <c r="A103" s="5">
        <v>101</v>
      </c>
      <c r="B103" s="9">
        <v>49552854</v>
      </c>
      <c r="C103" s="5" t="s">
        <v>10</v>
      </c>
      <c r="D103" s="8" t="s">
        <v>9</v>
      </c>
      <c r="E103" s="7">
        <v>46170</v>
      </c>
      <c r="F103" s="6">
        <v>0.61666666666666703</v>
      </c>
      <c r="G103" s="5" t="s">
        <v>0</v>
      </c>
      <c r="H103" s="4">
        <f t="shared" si="3"/>
        <v>100000</v>
      </c>
    </row>
    <row r="104" spans="1:8" x14ac:dyDescent="0.25">
      <c r="A104" s="5">
        <v>102</v>
      </c>
      <c r="B104" s="9">
        <v>1051885880</v>
      </c>
      <c r="C104" s="5" t="s">
        <v>8</v>
      </c>
      <c r="D104" s="8" t="s">
        <v>7</v>
      </c>
      <c r="E104" s="7">
        <v>46170</v>
      </c>
      <c r="F104" s="6">
        <v>0.47430555555555598</v>
      </c>
      <c r="G104" s="5" t="s">
        <v>0</v>
      </c>
      <c r="H104" s="4">
        <f t="shared" si="3"/>
        <v>100000</v>
      </c>
    </row>
    <row r="105" spans="1:8" x14ac:dyDescent="0.25">
      <c r="A105" s="5">
        <v>103</v>
      </c>
      <c r="B105" s="9">
        <v>40931739</v>
      </c>
      <c r="C105" s="5" t="s">
        <v>6</v>
      </c>
      <c r="D105" s="8" t="s">
        <v>5</v>
      </c>
      <c r="E105" s="7">
        <v>46176</v>
      </c>
      <c r="F105" s="6">
        <v>0.58958333333333302</v>
      </c>
      <c r="G105" s="5" t="s">
        <v>0</v>
      </c>
      <c r="H105" s="4">
        <f t="shared" si="3"/>
        <v>100000</v>
      </c>
    </row>
    <row r="106" spans="1:8" x14ac:dyDescent="0.25">
      <c r="A106" s="5">
        <v>104</v>
      </c>
      <c r="B106" s="9">
        <v>30582301</v>
      </c>
      <c r="C106" s="5" t="s">
        <v>4</v>
      </c>
      <c r="D106" s="8" t="s">
        <v>3</v>
      </c>
      <c r="E106" s="7">
        <v>46158</v>
      </c>
      <c r="F106" s="6">
        <v>0.79444444444444395</v>
      </c>
      <c r="G106" s="5" t="s">
        <v>0</v>
      </c>
      <c r="H106" s="4">
        <f t="shared" si="3"/>
        <v>100000</v>
      </c>
    </row>
    <row r="107" spans="1:8" x14ac:dyDescent="0.25">
      <c r="A107" s="5">
        <v>105</v>
      </c>
      <c r="B107" s="9">
        <v>1128053914</v>
      </c>
      <c r="C107" s="5" t="s">
        <v>2</v>
      </c>
      <c r="D107" s="8" t="s">
        <v>1</v>
      </c>
      <c r="E107" s="7">
        <v>46170</v>
      </c>
      <c r="F107" s="6">
        <v>0.843055555555556</v>
      </c>
      <c r="G107" s="5" t="s">
        <v>0</v>
      </c>
      <c r="H107" s="4">
        <f t="shared" si="3"/>
        <v>100000</v>
      </c>
    </row>
    <row r="109" spans="1:8" x14ac:dyDescent="0.25">
      <c r="H109" s="3"/>
    </row>
  </sheetData>
  <autoFilter ref="A2:H107" xr:uid="{00000000-0009-0000-0000-000002000000}"/>
  <mergeCells count="2">
    <mergeCell ref="A1:H1"/>
    <mergeCell ref="M6:O6"/>
  </mergeCells>
  <conditionalFormatting sqref="D3:D107">
    <cfRule type="duplicateValues" dxfId="0" priority="1"/>
  </conditionalFormatting>
  <dataValidations count="1">
    <dataValidation type="list" allowBlank="1" showInputMessage="1" showErrorMessage="1" sqref="G3:G107" xr:uid="{00000000-0002-0000-0200-000000000000}">
      <formula1>$M$2:$M$2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ACTIVACION DE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Jeovani Orlando Torrado Sanchez</dc:creator>
  <cp:lastModifiedBy>Jeovani Orlando Torrado Sanchez</cp:lastModifiedBy>
  <dcterms:created xsi:type="dcterms:W3CDTF">2026-06-07T00:01:53Z</dcterms:created>
  <dcterms:modified xsi:type="dcterms:W3CDTF">2026-06-07T02:22:43Z</dcterms:modified>
</cp:coreProperties>
</file>
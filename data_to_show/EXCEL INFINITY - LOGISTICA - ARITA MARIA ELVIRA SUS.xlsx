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DENCION\FUNLIDI\"/>
    </mc:Choice>
  </mc:AlternateContent>
  <xr:revisionPtr revIDLastSave="0" documentId="13_ncr:1_{B6400454-EF1D-4B38-B796-71E49328F420}" xr6:coauthVersionLast="47" xr6:coauthVersionMax="47" xr10:uidLastSave="{00000000-0000-0000-0000-000000000000}"/>
  <bookViews>
    <workbookView xWindow="-120" yWindow="-120" windowWidth="29040" windowHeight="15720" xr2:uid="{410498A6-8EE5-407D-ADD2-D15D1290C1AF}"/>
  </bookViews>
  <sheets>
    <sheet name="TARJETA INFINITY" sheetId="1" r:id="rId1"/>
  </sheets>
  <definedNames>
    <definedName name="_xlnm._FilterDatabase" localSheetId="0" hidden="1">'TARJETA INFINITY'!$A$2:$H$165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5" i="1" l="1"/>
  <c r="H3" i="1"/>
  <c r="P2" i="1" s="1"/>
  <c r="O2" i="1" s="1"/>
  <c r="H4" i="1"/>
  <c r="P4" i="1"/>
  <c r="O4" i="1" s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5" i="1"/>
  <c r="H166" i="1"/>
  <c r="H167" i="1"/>
  <c r="H168" i="1"/>
  <c r="H169" i="1"/>
  <c r="P3" i="1" s="1"/>
  <c r="O3" i="1" s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</calcChain>
</file>

<file path=xl/sharedStrings.xml><?xml version="1.0" encoding="utf-8"?>
<sst xmlns="http://schemas.openxmlformats.org/spreadsheetml/2006/main" count="598" uniqueCount="400">
  <si>
    <t xml:space="preserve">ARITA LA PLEVEYA </t>
  </si>
  <si>
    <t>M16036899</t>
  </si>
  <si>
    <t xml:space="preserve">MARIA SUS </t>
  </si>
  <si>
    <t>M02508848</t>
  </si>
  <si>
    <t>MARIA SANCHEZ</t>
  </si>
  <si>
    <t>04177657Y</t>
  </si>
  <si>
    <t>M09155511</t>
  </si>
  <si>
    <t>GUSTAVO PEDROZA</t>
  </si>
  <si>
    <t>MARIA PADILLA</t>
  </si>
  <si>
    <t>A5B44846</t>
  </si>
  <si>
    <t>M14662896</t>
  </si>
  <si>
    <t>MARIA LOPEZ</t>
  </si>
  <si>
    <t>44812038B</t>
  </si>
  <si>
    <t>M07667700</t>
  </si>
  <si>
    <t>ISABELLE MESTRALLET</t>
  </si>
  <si>
    <t>44929342S</t>
  </si>
  <si>
    <t>M00120818</t>
  </si>
  <si>
    <t>ELIANA JAIMES</t>
  </si>
  <si>
    <t xml:space="preserve">DONACION LOGISTICA </t>
  </si>
  <si>
    <t>M16971673</t>
  </si>
  <si>
    <t>MARLENE DURAN</t>
  </si>
  <si>
    <t>M17012880</t>
  </si>
  <si>
    <t xml:space="preserve">CARLOS DURAN </t>
  </si>
  <si>
    <t>FOTBDDCFZ8</t>
  </si>
  <si>
    <t xml:space="preserve">SANTIAGO MONSALVE </t>
  </si>
  <si>
    <t>2IOZOCUVC8</t>
  </si>
  <si>
    <t xml:space="preserve">SONIA DURAN </t>
  </si>
  <si>
    <t>M17077400</t>
  </si>
  <si>
    <t>LUZ CAMARGO</t>
  </si>
  <si>
    <t>M30143697</t>
  </si>
  <si>
    <t>ISABEL CASTRO</t>
  </si>
  <si>
    <t>M17044319</t>
  </si>
  <si>
    <t>MARTHA DURAN</t>
  </si>
  <si>
    <t>M29521484</t>
  </si>
  <si>
    <t>LUZ LOPEZ REYES</t>
  </si>
  <si>
    <t>M10842164</t>
  </si>
  <si>
    <t xml:space="preserve">JESUS ROCA </t>
  </si>
  <si>
    <t>21469787T</t>
  </si>
  <si>
    <t>M10792492</t>
  </si>
  <si>
    <t>SUSAN ROSSET</t>
  </si>
  <si>
    <t>49584857P</t>
  </si>
  <si>
    <t>M30243121</t>
  </si>
  <si>
    <t xml:space="preserve">NANCY TRUJILLO </t>
  </si>
  <si>
    <t>M1294172</t>
  </si>
  <si>
    <t>ANGELA PARRA</t>
  </si>
  <si>
    <t>M00158442</t>
  </si>
  <si>
    <t xml:space="preserve">IOANA CIOBANU </t>
  </si>
  <si>
    <t>Y1432742V</t>
  </si>
  <si>
    <t>M00160390</t>
  </si>
  <si>
    <t>FLAVIUS IONESCU</t>
  </si>
  <si>
    <t>M17917550</t>
  </si>
  <si>
    <t xml:space="preserve">MANUEL RUIZ </t>
  </si>
  <si>
    <t>M00163487</t>
  </si>
  <si>
    <t>NICOLETA TUDOR</t>
  </si>
  <si>
    <t>KL583359</t>
  </si>
  <si>
    <t xml:space="preserve">TARJETA INFINITY </t>
  </si>
  <si>
    <t>M13351310</t>
  </si>
  <si>
    <t>LIDA NELIDA RUIZ BECERRA</t>
  </si>
  <si>
    <t>M23838664</t>
  </si>
  <si>
    <t>CLAUDIA ESTHER JARABA PEREZ</t>
  </si>
  <si>
    <t>M13285613</t>
  </si>
  <si>
    <t>LUCILA LOZANO ROBAYO</t>
  </si>
  <si>
    <t>M27303503</t>
  </si>
  <si>
    <t>NATALIA VELAZCO</t>
  </si>
  <si>
    <t>AURORA VALLES</t>
  </si>
  <si>
    <t>36977930W</t>
  </si>
  <si>
    <t>M06227674</t>
  </si>
  <si>
    <t>VIORELA MUSAT</t>
  </si>
  <si>
    <t>X4904186B</t>
  </si>
  <si>
    <t>M07896005</t>
  </si>
  <si>
    <t>M17418949</t>
  </si>
  <si>
    <t>ADA PEREZ</t>
  </si>
  <si>
    <t>M16256292</t>
  </si>
  <si>
    <t>ANA MESTRE</t>
  </si>
  <si>
    <t>M09926377</t>
  </si>
  <si>
    <t>MARIA PAVON</t>
  </si>
  <si>
    <t>43042826M</t>
  </si>
  <si>
    <t>M09980580</t>
  </si>
  <si>
    <t xml:space="preserve">MARINA ABAD </t>
  </si>
  <si>
    <t>78283005K</t>
  </si>
  <si>
    <t>M09880603</t>
  </si>
  <si>
    <t xml:space="preserve">JAVIER ABAD </t>
  </si>
  <si>
    <t>39185918J</t>
  </si>
  <si>
    <t>M14197726</t>
  </si>
  <si>
    <t>MARIA OSORIO</t>
  </si>
  <si>
    <t>M23880176</t>
  </si>
  <si>
    <t>MICHAEL JULIO</t>
  </si>
  <si>
    <t>M21019645</t>
  </si>
  <si>
    <t xml:space="preserve">LUZ JULIO TORRES </t>
  </si>
  <si>
    <t>M05653405</t>
  </si>
  <si>
    <t xml:space="preserve">MARIA RIVERA </t>
  </si>
  <si>
    <t>M04889341</t>
  </si>
  <si>
    <t>AGUSTINA LOZANA</t>
  </si>
  <si>
    <t>M00156860</t>
  </si>
  <si>
    <t>CRISTINA STEFAN</t>
  </si>
  <si>
    <t>B524485060</t>
  </si>
  <si>
    <t>M05947682</t>
  </si>
  <si>
    <t>MARIA TAMAYO</t>
  </si>
  <si>
    <t>M24584901</t>
  </si>
  <si>
    <t>EDUARDO JULIO</t>
  </si>
  <si>
    <t>M21270025</t>
  </si>
  <si>
    <t>OSCAR JULIO</t>
  </si>
  <si>
    <t>M00041820</t>
  </si>
  <si>
    <t>MARIA B FLOREZ</t>
  </si>
  <si>
    <t>M15546654</t>
  </si>
  <si>
    <t xml:space="preserve">FREDYS GARCES </t>
  </si>
  <si>
    <t>QUDUD8ZCF7</t>
  </si>
  <si>
    <t xml:space="preserve">MARIA DAZA </t>
  </si>
  <si>
    <t>ORLANDO SUAREZ</t>
  </si>
  <si>
    <t>M13776057</t>
  </si>
  <si>
    <t>LILIBETH PARRA</t>
  </si>
  <si>
    <t xml:space="preserve">FRANCISCA MORENO </t>
  </si>
  <si>
    <t>M13949050</t>
  </si>
  <si>
    <t>ASTURO NARANJO</t>
  </si>
  <si>
    <t>M23110506</t>
  </si>
  <si>
    <t xml:space="preserve">MARCO CABARCAS </t>
  </si>
  <si>
    <t>M17893602</t>
  </si>
  <si>
    <t>MARIA VASQUEZ</t>
  </si>
  <si>
    <t>N2467182</t>
  </si>
  <si>
    <t>M13389291</t>
  </si>
  <si>
    <t>JONIER VALENCIA</t>
  </si>
  <si>
    <t>M04422099</t>
  </si>
  <si>
    <t>JUAN CARDENAS</t>
  </si>
  <si>
    <t>M23456066</t>
  </si>
  <si>
    <t>ALBERTO MARTINEZ</t>
  </si>
  <si>
    <t>M05779038</t>
  </si>
  <si>
    <t>MANUEL ASTAIZA</t>
  </si>
  <si>
    <t>M12961581</t>
  </si>
  <si>
    <t xml:space="preserve">LAURA MORA </t>
  </si>
  <si>
    <t>M13115018</t>
  </si>
  <si>
    <t>HOLGER MARTINEZ</t>
  </si>
  <si>
    <t>M12908269</t>
  </si>
  <si>
    <t xml:space="preserve">CESAR MARTINEZ </t>
  </si>
  <si>
    <t>MILAGROS FERRER</t>
  </si>
  <si>
    <t>M13046182</t>
  </si>
  <si>
    <t>ALFONSO HENAO</t>
  </si>
  <si>
    <t>M14468198</t>
  </si>
  <si>
    <t xml:space="preserve">DINA YANES </t>
  </si>
  <si>
    <t>M23923478</t>
  </si>
  <si>
    <t xml:space="preserve">ADRIANA RAMOS </t>
  </si>
  <si>
    <t>M06124425</t>
  </si>
  <si>
    <t>CLAUDIA MOLANO</t>
  </si>
  <si>
    <t>M06159235</t>
  </si>
  <si>
    <t>FELIPE ASAF</t>
  </si>
  <si>
    <t>M07812489</t>
  </si>
  <si>
    <t xml:space="preserve">ANGEL ASAF </t>
  </si>
  <si>
    <t>JWZ18PX8Y</t>
  </si>
  <si>
    <t xml:space="preserve">CLAUDIA GUETE </t>
  </si>
  <si>
    <t>M12929820</t>
  </si>
  <si>
    <t>GINA PATERNINA</t>
  </si>
  <si>
    <t>M12876058</t>
  </si>
  <si>
    <t>HERNANDO BENITEZ</t>
  </si>
  <si>
    <t>M05643051</t>
  </si>
  <si>
    <t xml:space="preserve">LEIDY VANEGAS </t>
  </si>
  <si>
    <t>BE088554</t>
  </si>
  <si>
    <t>M15813544</t>
  </si>
  <si>
    <t>RAFAEL MENDEZ</t>
  </si>
  <si>
    <t>M15848801</t>
  </si>
  <si>
    <t>LAURA DURAN</t>
  </si>
  <si>
    <t>RONALD GOMEZ</t>
  </si>
  <si>
    <t>CARMELA NAVARRO</t>
  </si>
  <si>
    <t>NATALIO GOMEZ</t>
  </si>
  <si>
    <t>JUAN BARRAGAN</t>
  </si>
  <si>
    <t>M17009196</t>
  </si>
  <si>
    <t xml:space="preserve">CLARA BARON </t>
  </si>
  <si>
    <t>M25391316</t>
  </si>
  <si>
    <t>YASMIN VELASQUEZ</t>
  </si>
  <si>
    <t>M12153171</t>
  </si>
  <si>
    <t>ROSA ARRIETA</t>
  </si>
  <si>
    <t>CLAUDIA JARABA</t>
  </si>
  <si>
    <t>JULIO CESAR DÍAZ TEHERAN</t>
  </si>
  <si>
    <t>M13332800</t>
  </si>
  <si>
    <t>GABRIEL FELIPE PADILLA VARGAS</t>
  </si>
  <si>
    <t>M10421251</t>
  </si>
  <si>
    <t>LUIS DOMINIQUETT</t>
  </si>
  <si>
    <t>M15601329</t>
  </si>
  <si>
    <t>ZULAY NOVOA</t>
  </si>
  <si>
    <t>M19772154</t>
  </si>
  <si>
    <t>MARIA ORTIZ</t>
  </si>
  <si>
    <t>14939524N</t>
  </si>
  <si>
    <t>M13565106</t>
  </si>
  <si>
    <t>YOSIMAR ALVAREZ</t>
  </si>
  <si>
    <t>M19407043</t>
  </si>
  <si>
    <t>FLOR PEREZ</t>
  </si>
  <si>
    <t>LAURA BARRAGAN</t>
  </si>
  <si>
    <t>M18094544</t>
  </si>
  <si>
    <t>MIREN ETXEBARRIA</t>
  </si>
  <si>
    <t>24401338V</t>
  </si>
  <si>
    <t>M10770188</t>
  </si>
  <si>
    <t>LUIS ULLOA</t>
  </si>
  <si>
    <t>M05708490</t>
  </si>
  <si>
    <t>CAMILA MARQUEZ</t>
  </si>
  <si>
    <t>M14985589</t>
  </si>
  <si>
    <t>RODOLFO RIOS</t>
  </si>
  <si>
    <t>M24520479</t>
  </si>
  <si>
    <t xml:space="preserve">DIEGO YALUZAN </t>
  </si>
  <si>
    <t>M01258506</t>
  </si>
  <si>
    <t>ENRIQUE GARCIA</t>
  </si>
  <si>
    <t>M05765540</t>
  </si>
  <si>
    <t xml:space="preserve">LEXA CANTILLO </t>
  </si>
  <si>
    <t>M05436886</t>
  </si>
  <si>
    <t xml:space="preserve">TUPAK CHALUISA </t>
  </si>
  <si>
    <t>M01536708</t>
  </si>
  <si>
    <t>JOSE RUFO</t>
  </si>
  <si>
    <t>4181539R</t>
  </si>
  <si>
    <t>M01763981</t>
  </si>
  <si>
    <t>ADRIANA BAVARESCO</t>
  </si>
  <si>
    <t>12488459B</t>
  </si>
  <si>
    <t>M0565305</t>
  </si>
  <si>
    <t>M03936784</t>
  </si>
  <si>
    <t xml:space="preserve">JAIRO MENDOZA </t>
  </si>
  <si>
    <t>M09326795</t>
  </si>
  <si>
    <t>MILCIADES MENDOZA</t>
  </si>
  <si>
    <t>MARIA CORDOBA</t>
  </si>
  <si>
    <t>JAQUELINE MARTINEZ</t>
  </si>
  <si>
    <t xml:space="preserve">ESTRIARIN GUERRERO </t>
  </si>
  <si>
    <t>M09650902</t>
  </si>
  <si>
    <t>ESTHER GORGONA</t>
  </si>
  <si>
    <t>M15390957</t>
  </si>
  <si>
    <t>MARY MARZOLA</t>
  </si>
  <si>
    <t>M05585162</t>
  </si>
  <si>
    <t>CLAUDIA GOMEZ</t>
  </si>
  <si>
    <t>M25617448</t>
  </si>
  <si>
    <t>LUZ BECERRA</t>
  </si>
  <si>
    <t>EDILSA MORENO</t>
  </si>
  <si>
    <t>M24129976</t>
  </si>
  <si>
    <t>ENEL AREVALO</t>
  </si>
  <si>
    <t>M00163092</t>
  </si>
  <si>
    <t>BERLIDES MADARIADA</t>
  </si>
  <si>
    <t>M16180000</t>
  </si>
  <si>
    <t>VIVIAN ALTAMAR</t>
  </si>
  <si>
    <t>M20597205</t>
  </si>
  <si>
    <t>MERLY MEZA</t>
  </si>
  <si>
    <t>M21965095</t>
  </si>
  <si>
    <t>LIBIA VILLERO</t>
  </si>
  <si>
    <t>M00232195</t>
  </si>
  <si>
    <t>KELLY JULIO</t>
  </si>
  <si>
    <t>M00252200</t>
  </si>
  <si>
    <t>JOSE MEZA</t>
  </si>
  <si>
    <t>M00217579</t>
  </si>
  <si>
    <t>MARISOL MORELO</t>
  </si>
  <si>
    <t>BILLETERA</t>
  </si>
  <si>
    <t>IZASKUN TELLERIA</t>
  </si>
  <si>
    <t>34095340W</t>
  </si>
  <si>
    <t>M20202967</t>
  </si>
  <si>
    <t>SANTO NAVARRO</t>
  </si>
  <si>
    <t>M21405096</t>
  </si>
  <si>
    <t xml:space="preserve">MARIBEL VARGAS </t>
  </si>
  <si>
    <t>M06604156</t>
  </si>
  <si>
    <t>YOBAIRO PEREZ</t>
  </si>
  <si>
    <t>M19356069</t>
  </si>
  <si>
    <t>OSCAR RAMIREZ</t>
  </si>
  <si>
    <t>M12531567</t>
  </si>
  <si>
    <t xml:space="preserve">ANGEE TORRADO </t>
  </si>
  <si>
    <t>M12963893</t>
  </si>
  <si>
    <t>JORGE TORRADO</t>
  </si>
  <si>
    <t xml:space="preserve">ROQUE VERGARA </t>
  </si>
  <si>
    <t>M22667373</t>
  </si>
  <si>
    <t xml:space="preserve">GONZALO JIMENEZ </t>
  </si>
  <si>
    <t>M13550466</t>
  </si>
  <si>
    <t>JACKELINE GARCIA</t>
  </si>
  <si>
    <t>M09089823</t>
  </si>
  <si>
    <t>LENIS BALLESTEROS</t>
  </si>
  <si>
    <t>M13738049</t>
  </si>
  <si>
    <t>NASLY VERGARA</t>
  </si>
  <si>
    <t>M00230395</t>
  </si>
  <si>
    <t>ADOLFREDO OLASCOAGA</t>
  </si>
  <si>
    <t>M20915977</t>
  </si>
  <si>
    <t>JHONATA CARVAJAL</t>
  </si>
  <si>
    <t>M13861261</t>
  </si>
  <si>
    <t xml:space="preserve">LAURA CARVAJAL </t>
  </si>
  <si>
    <t>ODILMA FUENTES</t>
  </si>
  <si>
    <t>M14884591</t>
  </si>
  <si>
    <t>ERNESTO MIÑANA</t>
  </si>
  <si>
    <t>24891473E</t>
  </si>
  <si>
    <t>M25057929</t>
  </si>
  <si>
    <t>SAUL CAMPO</t>
  </si>
  <si>
    <t>M13481132</t>
  </si>
  <si>
    <t>ALMINCAR GARCIA</t>
  </si>
  <si>
    <t>M09287400</t>
  </si>
  <si>
    <t>YONIS PADILLA</t>
  </si>
  <si>
    <t>M08424927</t>
  </si>
  <si>
    <t>GUSTAVO SUAREZ</t>
  </si>
  <si>
    <t>M07502006</t>
  </si>
  <si>
    <t>JAIME PEREZ</t>
  </si>
  <si>
    <t>M18477291</t>
  </si>
  <si>
    <t>EUSTORGIO PORTO</t>
  </si>
  <si>
    <t>M12694067</t>
  </si>
  <si>
    <t>NEYLA ZULAY</t>
  </si>
  <si>
    <t>M15376290</t>
  </si>
  <si>
    <t>ALVARO CASTILLO</t>
  </si>
  <si>
    <t>M05812186</t>
  </si>
  <si>
    <t>MURIEL BARAZARTE</t>
  </si>
  <si>
    <t>M14116973</t>
  </si>
  <si>
    <t xml:space="preserve">MARIA JOSE MERCHAN </t>
  </si>
  <si>
    <t>25104574M</t>
  </si>
  <si>
    <t>M13061122</t>
  </si>
  <si>
    <t>ANA ORTIZ</t>
  </si>
  <si>
    <t>M03580105</t>
  </si>
  <si>
    <t>JESUS GUARIN</t>
  </si>
  <si>
    <t>M14983390</t>
  </si>
  <si>
    <t>JESSICA ROBAYO</t>
  </si>
  <si>
    <t>GUIDO MENDOZA</t>
  </si>
  <si>
    <t>M10489533</t>
  </si>
  <si>
    <t>ELIZABETH VILLADIEGO</t>
  </si>
  <si>
    <t>M10070082</t>
  </si>
  <si>
    <t>NELLYS MARQUEZ</t>
  </si>
  <si>
    <t>XY4XC7QWCN</t>
  </si>
  <si>
    <t>JHON SOTO</t>
  </si>
  <si>
    <t>ANTONIO SANCHEZ</t>
  </si>
  <si>
    <t>46517125Q</t>
  </si>
  <si>
    <t>M00006467</t>
  </si>
  <si>
    <t>JILMA VERGARA</t>
  </si>
  <si>
    <t>LF08FX6G4</t>
  </si>
  <si>
    <t>M17371930</t>
  </si>
  <si>
    <t>JOSE URANGO GUEVARA</t>
  </si>
  <si>
    <t>09ZjC5SJN8</t>
  </si>
  <si>
    <t>M20956149</t>
  </si>
  <si>
    <t xml:space="preserve">MARIA CUBILLOS </t>
  </si>
  <si>
    <t>M07030402</t>
  </si>
  <si>
    <t>JUANITA FERNANDEZ</t>
  </si>
  <si>
    <t>M04799165</t>
  </si>
  <si>
    <t>NESTI VILLADIEGO</t>
  </si>
  <si>
    <t>M06040986</t>
  </si>
  <si>
    <t xml:space="preserve">DIANA LICONA </t>
  </si>
  <si>
    <t>M25604299</t>
  </si>
  <si>
    <t>LEINER CASTRO</t>
  </si>
  <si>
    <t>M12621291</t>
  </si>
  <si>
    <t>MARIANA MENDOZA</t>
  </si>
  <si>
    <t>M14414160</t>
  </si>
  <si>
    <t>SINDI PEREZ</t>
  </si>
  <si>
    <t>M14546670</t>
  </si>
  <si>
    <t xml:space="preserve">HOREA   MARCU </t>
  </si>
  <si>
    <t>X5222807J</t>
  </si>
  <si>
    <t>M14514834</t>
  </si>
  <si>
    <t>DANIELA POGACIS</t>
  </si>
  <si>
    <t>X9885872N</t>
  </si>
  <si>
    <t>M16299967</t>
  </si>
  <si>
    <t>RIGO SANCHEZ</t>
  </si>
  <si>
    <t>M16452008</t>
  </si>
  <si>
    <t>OMAIRA SANCHEZ</t>
  </si>
  <si>
    <t>M29629110</t>
  </si>
  <si>
    <t xml:space="preserve">ALCIDES BATISTA </t>
  </si>
  <si>
    <t>M14428098</t>
  </si>
  <si>
    <t>ISSEME OLOUME</t>
  </si>
  <si>
    <t>M01963569</t>
  </si>
  <si>
    <t>DARLYS SOTO</t>
  </si>
  <si>
    <t>M14616417</t>
  </si>
  <si>
    <t>MARIA ALTIMASVERES</t>
  </si>
  <si>
    <t>29119348Z</t>
  </si>
  <si>
    <t>M14612677</t>
  </si>
  <si>
    <t>SANDRA SUESCUN</t>
  </si>
  <si>
    <t>M12695713</t>
  </si>
  <si>
    <t>DUBERLIS LEDESMA</t>
  </si>
  <si>
    <t>M15017990</t>
  </si>
  <si>
    <t>JENNY ROBAYO</t>
  </si>
  <si>
    <t>47633be1</t>
  </si>
  <si>
    <t>JAVIER GARRIDO</t>
  </si>
  <si>
    <t>APIU50939</t>
  </si>
  <si>
    <t>ANTONIO ANGEL</t>
  </si>
  <si>
    <t>M01086796</t>
  </si>
  <si>
    <t xml:space="preserve">MYRIAN ROJAS </t>
  </si>
  <si>
    <t>GUISELA TORO</t>
  </si>
  <si>
    <t>M15880288</t>
  </si>
  <si>
    <t>JUAN ROLDAN</t>
  </si>
  <si>
    <t>YQESC80KQL</t>
  </si>
  <si>
    <t xml:space="preserve">FRANCY RUIZ </t>
  </si>
  <si>
    <t>51152057B</t>
  </si>
  <si>
    <t>M04642891</t>
  </si>
  <si>
    <t>ZOBEIDA MARTINEZ</t>
  </si>
  <si>
    <t>M04754919</t>
  </si>
  <si>
    <t>EDINSON ORTIZ</t>
  </si>
  <si>
    <t>M07927352</t>
  </si>
  <si>
    <t>MARIANA SAMFIRA</t>
  </si>
  <si>
    <t>X6557398X</t>
  </si>
  <si>
    <t>M01491484</t>
  </si>
  <si>
    <t xml:space="preserve">CONCEPCION RUIZ </t>
  </si>
  <si>
    <t>34072582Z</t>
  </si>
  <si>
    <t>M06358305</t>
  </si>
  <si>
    <t>OSCAR MARTINEZ</t>
  </si>
  <si>
    <t>M05383464</t>
  </si>
  <si>
    <t xml:space="preserve">LEONEL BUENDIA </t>
  </si>
  <si>
    <t>M11706699</t>
  </si>
  <si>
    <t>LEYDIS BARROSO</t>
  </si>
  <si>
    <t>M00138319</t>
  </si>
  <si>
    <t>LONORE MONTORI URMENETA</t>
  </si>
  <si>
    <t>44126307W</t>
  </si>
  <si>
    <t xml:space="preserve">VALOR </t>
  </si>
  <si>
    <t>TIPO FLAYER</t>
  </si>
  <si>
    <t>HORA</t>
  </si>
  <si>
    <t>FECHA</t>
  </si>
  <si>
    <t xml:space="preserve">REFERENCIA </t>
  </si>
  <si>
    <t xml:space="preserve">NOMBRES Y APELLIDOS </t>
  </si>
  <si>
    <t xml:space="preserve">IDENTIFICACION </t>
  </si>
  <si>
    <t>N°</t>
  </si>
  <si>
    <t xml:space="preserve">VALOR TOTAL </t>
  </si>
  <si>
    <t>FRECUENCIA</t>
  </si>
  <si>
    <t>VALOR</t>
  </si>
  <si>
    <t xml:space="preserve">FLAYER MARIA ELVIRA 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</si>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</sst>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  <numFmt numFmtId="165" formatCode="[$-F400]h:mm:ss\ AM/PM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6" tint="0.79995117038483843"/>
        <bgColor indexed="64"/>
      </patternFill>
    </fill>
  </fills>
  <borders count="7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164" fontId="0" fillId="0" borderId="1" xfId="1" applyNumberFormat="1" applyFont="1" applyBorder="1"/>
    <xf numFmtId="0" fontId="0" fillId="0" borderId="1" xfId="0" applyBorder="1"/>
    <xf numFmtId="165" fontId="0" fillId="0" borderId="1" xfId="0" applyNumberFormat="1" applyBorder="1"/>
    <xf numFmtId="14" fontId="0" fillId="0" borderId="1" xfId="0" applyNumberFormat="1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1" fontId="0" fillId="0" borderId="1" xfId="0" applyNumberFormat="1" applyBorder="1" applyAlignment="1">
      <alignment horizontal="right"/>
    </xf>
    <xf numFmtId="164" fontId="0" fillId="0" borderId="1" xfId="1" applyNumberFormat="1" applyFont="1" applyBorder="1" applyAlignment="1">
      <alignment horizontal="center"/>
    </xf>
    <xf numFmtId="18" fontId="0" fillId="0" borderId="0" xfId="0" applyNumberFormat="1"/>
    <xf numFmtId="14" fontId="0" fillId="0" borderId="0" xfId="0" applyNumberFormat="1"/>
    <xf numFmtId="0" fontId="1" fillId="0" borderId="0" xfId="0" applyFont="1" applyAlignment="1">
      <alignment horizontal="left"/>
    </xf>
    <xf numFmtId="0" fontId="1" fillId="0" borderId="0" xfId="0" applyFont="1"/>
    <xf numFmtId="0" fontId="0" fillId="0" borderId="2" xfId="0" applyBorder="1"/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3" fillId="0" borderId="0" xfId="0" applyFont="1" applyAlignment="1">
      <alignment vertical="center"/>
    </xf>
    <xf numFmtId="164" fontId="0" fillId="0" borderId="0" xfId="0" applyNumberFormat="1"/>
    <xf numFmtId="0" fontId="0" fillId="0" borderId="0" xfId="0" applyAlignment="1">
      <alignment horizontal="center"/>
    </xf>
    <xf numFmtId="164" fontId="0" fillId="0" borderId="0" xfId="1" applyNumberFormat="1" applyFont="1" applyBorder="1"/>
    <xf numFmtId="164" fontId="0" fillId="0" borderId="3" xfId="0" applyNumberFormat="1" applyBorder="1"/>
    <xf numFmtId="0" fontId="0" fillId="0" borderId="3" xfId="0" applyBorder="1" applyAlignment="1">
      <alignment horizontal="center"/>
    </xf>
    <xf numFmtId="164" fontId="0" fillId="0" borderId="3" xfId="1" applyNumberFormat="1" applyFont="1" applyBorder="1"/>
    <xf numFmtId="0" fontId="0" fillId="0" borderId="3" xfId="0" applyBorder="1"/>
    <xf numFmtId="0" fontId="0" fillId="2" borderId="4" xfId="0" applyFill="1" applyBorder="1" applyAlignment="1">
      <alignment horizontal="center"/>
    </xf>
    <xf numFmtId="0" fontId="0" fillId="2" borderId="4" xfId="0" applyFill="1" applyBorder="1" applyAlignment="1">
      <alignment horizontal="left"/>
    </xf>
    <xf numFmtId="0" fontId="2" fillId="2" borderId="3" xfId="0" applyFont="1" applyFill="1" applyBorder="1" applyAlignment="1">
      <alignment horizontal="center"/>
    </xf>
    <xf numFmtId="164" fontId="2" fillId="0" borderId="0" xfId="0" applyNumberFormat="1" applyFont="1"/>
    <xf numFmtId="0" fontId="0" fillId="3" borderId="6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0" borderId="0" xfId="0" applyAlignment="1">
      <alignment horizontal="center"/>
    </xf>
  </cellXfs>
  <cellStyles count="2">
    <cellStyle name="Moneda" xfId="1" builtinId="4"/>
    <cellStyle name="Normal" xfId="0" builtinId="0"/>
  </cellStyles>
  <dxfs count="3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tel:101346177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B0F77-BEEC-4927-937F-DFA960387C79}">
  <dimension ref="A1:Q191"/>
  <sheetViews>
    <sheetView tabSelected="1" zoomScale="90" zoomScaleNormal="90" workbookViewId="0">
      <pane ySplit="2" topLeftCell="A3" activePane="bottomLeft" state="frozen"/>
      <selection pane="bottomLeft" activeCell="M2" sqref="M2:P5"/>
    </sheetView>
  </sheetViews>
  <sheetFormatPr baseColWidth="10" defaultColWidth="12.5703125" defaultRowHeight="15" x14ac:dyDescent="0.25"/>
  <cols>
    <col min="1" max="1" width="4.5703125" customWidth="1"/>
    <col min="2" max="2" width="20.28515625" style="2" customWidth="1"/>
    <col min="3" max="3" width="33.42578125" customWidth="1"/>
    <col min="4" max="4" width="17.42578125" style="1" customWidth="1"/>
    <col min="6" max="6" width="25.140625" customWidth="1"/>
    <col min="7" max="7" width="23.85546875" customWidth="1"/>
    <col min="8" max="8" width="16" customWidth="1"/>
    <col min="13" max="13" width="23.85546875" customWidth="1"/>
    <col min="14" max="14" width="14.85546875" customWidth="1"/>
    <col min="15" max="15" width="14.42578125" customWidth="1"/>
    <col min="16" max="16" width="17.5703125" customWidth="1"/>
    <col min="17" max="17" width="14.85546875" customWidth="1"/>
    <col min="18" max="18" width="23.28515625" customWidth="1"/>
  </cols>
  <sheetData>
    <row r="1" spans="1:17" x14ac:dyDescent="0.25">
      <c r="A1" s="30" t="s">
        <v>398</v>
      </c>
      <c r="B1" s="30"/>
      <c r="C1" s="30"/>
      <c r="D1" s="30"/>
      <c r="E1" s="30"/>
      <c r="F1" s="30"/>
      <c r="G1" s="30"/>
      <c r="H1" s="31"/>
      <c r="M1" s="28" t="s">
        <v>388</v>
      </c>
      <c r="N1" s="28" t="s">
        <v>397</v>
      </c>
      <c r="O1" s="28" t="s">
        <v>396</v>
      </c>
      <c r="P1" s="28" t="s">
        <v>395</v>
      </c>
    </row>
    <row r="2" spans="1:17" x14ac:dyDescent="0.25">
      <c r="A2" s="26" t="s">
        <v>394</v>
      </c>
      <c r="B2" s="26" t="s">
        <v>393</v>
      </c>
      <c r="C2" s="26" t="s">
        <v>392</v>
      </c>
      <c r="D2" s="27" t="s">
        <v>391</v>
      </c>
      <c r="E2" s="26" t="s">
        <v>390</v>
      </c>
      <c r="F2" s="26" t="s">
        <v>389</v>
      </c>
      <c r="G2" s="26" t="s">
        <v>388</v>
      </c>
      <c r="H2" s="26" t="s">
        <v>387</v>
      </c>
      <c r="M2" s="25" t="s">
        <v>55</v>
      </c>
      <c r="N2" s="24">
        <v>30000</v>
      </c>
      <c r="O2" s="23">
        <f>P2/N2</f>
        <v>169</v>
      </c>
      <c r="P2" s="22">
        <f>SUM(H3:H168)</f>
        <v>5070000</v>
      </c>
    </row>
    <row r="3" spans="1:17" x14ac:dyDescent="0.25">
      <c r="A3" s="4">
        <v>1</v>
      </c>
      <c r="B3" s="8" t="s">
        <v>386</v>
      </c>
      <c r="C3" s="4" t="s">
        <v>385</v>
      </c>
      <c r="D3" s="7" t="s">
        <v>384</v>
      </c>
      <c r="E3" s="6">
        <v>46171</v>
      </c>
      <c r="F3" s="5">
        <v>6.8750000000000006E-2</v>
      </c>
      <c r="G3" s="4" t="s">
        <v>55</v>
      </c>
      <c r="H3" s="10">
        <f t="shared" ref="H3:H34" si="0">VLOOKUP(G3,$M$2:$N$2,2)</f>
        <v>30000</v>
      </c>
      <c r="M3" s="25" t="s">
        <v>18</v>
      </c>
      <c r="N3" s="24">
        <v>20000</v>
      </c>
      <c r="O3" s="23">
        <f>P3/N3</f>
        <v>16</v>
      </c>
      <c r="P3" s="22">
        <f>SUM(H169:H184)</f>
        <v>320000</v>
      </c>
    </row>
    <row r="4" spans="1:17" x14ac:dyDescent="0.25">
      <c r="A4" s="4">
        <v>2</v>
      </c>
      <c r="B4" s="8">
        <v>30578501</v>
      </c>
      <c r="C4" s="4" t="s">
        <v>383</v>
      </c>
      <c r="D4" s="7" t="s">
        <v>382</v>
      </c>
      <c r="E4" s="6">
        <v>46170</v>
      </c>
      <c r="F4" s="5">
        <v>0.60277777777777797</v>
      </c>
      <c r="G4" s="4" t="s">
        <v>55</v>
      </c>
      <c r="H4" s="10">
        <f t="shared" si="0"/>
        <v>30000</v>
      </c>
      <c r="M4" s="25" t="s">
        <v>0</v>
      </c>
      <c r="N4" s="24">
        <v>200000</v>
      </c>
      <c r="O4" s="23">
        <f>P4/N4</f>
        <v>7</v>
      </c>
      <c r="P4" s="22">
        <f>SUM(H185:H191)</f>
        <v>1400000</v>
      </c>
    </row>
    <row r="5" spans="1:17" x14ac:dyDescent="0.25">
      <c r="A5" s="4">
        <v>3</v>
      </c>
      <c r="B5" s="8">
        <v>1069478363</v>
      </c>
      <c r="C5" s="4" t="s">
        <v>381</v>
      </c>
      <c r="D5" s="7" t="s">
        <v>380</v>
      </c>
      <c r="E5" s="6">
        <v>46170</v>
      </c>
      <c r="F5" s="5">
        <v>0.44166666666666698</v>
      </c>
      <c r="G5" s="4" t="s">
        <v>55</v>
      </c>
      <c r="H5" s="10">
        <f t="shared" si="0"/>
        <v>30000</v>
      </c>
      <c r="N5" s="21"/>
      <c r="O5" s="20" t="s">
        <v>399</v>
      </c>
      <c r="P5" s="29">
        <f>SUM(P2:P4)</f>
        <v>6790000</v>
      </c>
    </row>
    <row r="6" spans="1:17" x14ac:dyDescent="0.25">
      <c r="A6" s="4">
        <v>4</v>
      </c>
      <c r="B6" s="8">
        <v>13504969</v>
      </c>
      <c r="C6" s="4" t="s">
        <v>379</v>
      </c>
      <c r="D6" s="7" t="s">
        <v>378</v>
      </c>
      <c r="E6" s="6">
        <v>46170</v>
      </c>
      <c r="F6" s="5">
        <v>0.47152777777777799</v>
      </c>
      <c r="G6" s="4" t="s">
        <v>55</v>
      </c>
      <c r="H6" s="10">
        <f t="shared" si="0"/>
        <v>30000</v>
      </c>
      <c r="M6" s="32"/>
      <c r="N6" s="32"/>
      <c r="O6" s="32"/>
      <c r="P6" s="19"/>
      <c r="Q6" s="19"/>
    </row>
    <row r="7" spans="1:17" x14ac:dyDescent="0.25">
      <c r="A7" s="4">
        <v>5</v>
      </c>
      <c r="B7" s="8" t="s">
        <v>377</v>
      </c>
      <c r="C7" s="4" t="s">
        <v>376</v>
      </c>
      <c r="D7" s="7" t="s">
        <v>375</v>
      </c>
      <c r="E7" s="6">
        <v>46171</v>
      </c>
      <c r="F7" s="5">
        <v>0.31041666666666701</v>
      </c>
      <c r="G7" s="4" t="s">
        <v>55</v>
      </c>
      <c r="H7" s="10">
        <f t="shared" si="0"/>
        <v>30000</v>
      </c>
    </row>
    <row r="8" spans="1:17" x14ac:dyDescent="0.25">
      <c r="A8" s="4">
        <v>6</v>
      </c>
      <c r="B8" s="8" t="s">
        <v>374</v>
      </c>
      <c r="C8" s="4" t="s">
        <v>373</v>
      </c>
      <c r="D8" s="7" t="s">
        <v>372</v>
      </c>
      <c r="E8" s="6">
        <v>46170</v>
      </c>
      <c r="F8" s="5">
        <v>0.51180555555555596</v>
      </c>
      <c r="G8" s="4" t="s">
        <v>55</v>
      </c>
      <c r="H8" s="10">
        <f t="shared" si="0"/>
        <v>30000</v>
      </c>
    </row>
    <row r="9" spans="1:17" x14ac:dyDescent="0.25">
      <c r="A9" s="4">
        <v>7</v>
      </c>
      <c r="B9" s="8">
        <v>73084365</v>
      </c>
      <c r="C9" s="4" t="s">
        <v>371</v>
      </c>
      <c r="D9" s="7" t="s">
        <v>370</v>
      </c>
      <c r="E9" s="6">
        <v>46169</v>
      </c>
      <c r="F9" s="5">
        <v>0.42361111111111099</v>
      </c>
      <c r="G9" s="4" t="s">
        <v>55</v>
      </c>
      <c r="H9" s="10">
        <f t="shared" si="0"/>
        <v>30000</v>
      </c>
    </row>
    <row r="10" spans="1:17" x14ac:dyDescent="0.25">
      <c r="A10" s="4">
        <v>8</v>
      </c>
      <c r="B10" s="8">
        <v>63459953</v>
      </c>
      <c r="C10" s="4" t="s">
        <v>369</v>
      </c>
      <c r="D10" s="7" t="s">
        <v>368</v>
      </c>
      <c r="E10" s="6">
        <v>46170</v>
      </c>
      <c r="F10" s="5">
        <v>0.42013888888888901</v>
      </c>
      <c r="G10" s="4" t="s">
        <v>55</v>
      </c>
      <c r="H10" s="10">
        <f t="shared" si="0"/>
        <v>30000</v>
      </c>
    </row>
    <row r="11" spans="1:17" x14ac:dyDescent="0.25">
      <c r="A11" s="4">
        <v>9</v>
      </c>
      <c r="B11" s="8" t="s">
        <v>367</v>
      </c>
      <c r="C11" s="4" t="s">
        <v>366</v>
      </c>
      <c r="D11" s="7" t="s">
        <v>365</v>
      </c>
      <c r="E11" s="6">
        <v>46170</v>
      </c>
      <c r="F11" s="5">
        <v>0.64791666666666703</v>
      </c>
      <c r="G11" s="4" t="s">
        <v>55</v>
      </c>
      <c r="H11" s="10">
        <f t="shared" si="0"/>
        <v>30000</v>
      </c>
    </row>
    <row r="12" spans="1:17" x14ac:dyDescent="0.25">
      <c r="A12" s="4">
        <v>10</v>
      </c>
      <c r="B12" s="8">
        <v>716777202</v>
      </c>
      <c r="C12" s="4" t="s">
        <v>364</v>
      </c>
      <c r="D12" s="7" t="s">
        <v>363</v>
      </c>
      <c r="E12" s="6">
        <v>46170</v>
      </c>
      <c r="F12" s="5">
        <v>0.70555555555555605</v>
      </c>
      <c r="G12" s="4" t="s">
        <v>55</v>
      </c>
      <c r="H12" s="10">
        <f t="shared" si="0"/>
        <v>30000</v>
      </c>
    </row>
    <row r="13" spans="1:17" x14ac:dyDescent="0.25">
      <c r="A13" s="4">
        <v>11</v>
      </c>
      <c r="B13" s="8">
        <v>39183289</v>
      </c>
      <c r="C13" s="4" t="s">
        <v>362</v>
      </c>
      <c r="D13" s="7">
        <v>540580</v>
      </c>
      <c r="E13" s="6">
        <v>46170</v>
      </c>
      <c r="F13" s="5">
        <v>0.77847222222222201</v>
      </c>
      <c r="G13" s="4" t="s">
        <v>55</v>
      </c>
      <c r="H13" s="10">
        <f t="shared" si="0"/>
        <v>30000</v>
      </c>
    </row>
    <row r="14" spans="1:17" x14ac:dyDescent="0.25">
      <c r="A14" s="4">
        <v>12</v>
      </c>
      <c r="B14" s="8">
        <v>51663345</v>
      </c>
      <c r="C14" s="4" t="s">
        <v>361</v>
      </c>
      <c r="D14" s="7" t="s">
        <v>360</v>
      </c>
      <c r="E14" s="6">
        <v>46170</v>
      </c>
      <c r="F14" s="5">
        <v>0.29097222222222202</v>
      </c>
      <c r="G14" s="4" t="s">
        <v>55</v>
      </c>
      <c r="H14" s="10">
        <f t="shared" si="0"/>
        <v>30000</v>
      </c>
    </row>
    <row r="15" spans="1:17" x14ac:dyDescent="0.25">
      <c r="A15" s="4">
        <v>13</v>
      </c>
      <c r="B15" s="8">
        <v>19240506</v>
      </c>
      <c r="C15" s="4" t="s">
        <v>359</v>
      </c>
      <c r="D15" s="7" t="s">
        <v>358</v>
      </c>
      <c r="E15" s="6">
        <v>46170</v>
      </c>
      <c r="F15" s="5">
        <v>0.74583333333333302</v>
      </c>
      <c r="G15" s="4" t="s">
        <v>55</v>
      </c>
      <c r="H15" s="10">
        <f t="shared" si="0"/>
        <v>30000</v>
      </c>
    </row>
    <row r="16" spans="1:17" x14ac:dyDescent="0.25">
      <c r="A16" s="4">
        <v>14</v>
      </c>
      <c r="B16" s="8">
        <v>73132981</v>
      </c>
      <c r="C16" s="4" t="s">
        <v>357</v>
      </c>
      <c r="D16" s="7" t="s">
        <v>356</v>
      </c>
      <c r="E16" s="6">
        <v>46170</v>
      </c>
      <c r="F16" s="5">
        <v>0.52986111111111101</v>
      </c>
      <c r="G16" s="4" t="s">
        <v>55</v>
      </c>
      <c r="H16" s="10">
        <f t="shared" si="0"/>
        <v>30000</v>
      </c>
    </row>
    <row r="17" spans="1:8" x14ac:dyDescent="0.25">
      <c r="A17" s="4">
        <v>15</v>
      </c>
      <c r="B17" s="8">
        <v>60330975</v>
      </c>
      <c r="C17" s="4" t="s">
        <v>355</v>
      </c>
      <c r="D17" s="7" t="s">
        <v>354</v>
      </c>
      <c r="E17" s="6">
        <v>46258</v>
      </c>
      <c r="F17" s="5">
        <v>0.78888888888888897</v>
      </c>
      <c r="G17" s="4" t="s">
        <v>55</v>
      </c>
      <c r="H17" s="10">
        <f t="shared" si="0"/>
        <v>30000</v>
      </c>
    </row>
    <row r="18" spans="1:8" x14ac:dyDescent="0.25">
      <c r="A18" s="4">
        <v>16</v>
      </c>
      <c r="B18" s="8">
        <v>40987271</v>
      </c>
      <c r="C18" s="4" t="s">
        <v>353</v>
      </c>
      <c r="D18" s="7" t="s">
        <v>352</v>
      </c>
      <c r="E18" s="6">
        <v>46170</v>
      </c>
      <c r="F18" s="5">
        <v>0.83333333333333304</v>
      </c>
      <c r="G18" s="4" t="s">
        <v>55</v>
      </c>
      <c r="H18" s="10">
        <f t="shared" si="0"/>
        <v>30000</v>
      </c>
    </row>
    <row r="19" spans="1:8" x14ac:dyDescent="0.25">
      <c r="A19" s="4">
        <v>17</v>
      </c>
      <c r="B19" s="8">
        <v>1090450864</v>
      </c>
      <c r="C19" s="4" t="s">
        <v>351</v>
      </c>
      <c r="D19" s="7">
        <v>725255</v>
      </c>
      <c r="E19" s="6">
        <v>46170</v>
      </c>
      <c r="F19" s="5">
        <v>0.43194444444444402</v>
      </c>
      <c r="G19" s="4" t="s">
        <v>55</v>
      </c>
      <c r="H19" s="10">
        <f t="shared" si="0"/>
        <v>30000</v>
      </c>
    </row>
    <row r="20" spans="1:8" x14ac:dyDescent="0.25">
      <c r="A20" s="4">
        <v>18</v>
      </c>
      <c r="B20" s="8" t="s">
        <v>349</v>
      </c>
      <c r="C20" s="4" t="s">
        <v>348</v>
      </c>
      <c r="D20" s="7" t="s">
        <v>350</v>
      </c>
      <c r="E20" s="6">
        <v>46171</v>
      </c>
      <c r="F20" s="5">
        <v>0.63472222222222197</v>
      </c>
      <c r="G20" s="4" t="s">
        <v>55</v>
      </c>
      <c r="H20" s="10">
        <f t="shared" si="0"/>
        <v>30000</v>
      </c>
    </row>
    <row r="21" spans="1:8" x14ac:dyDescent="0.25">
      <c r="A21" s="4">
        <v>19</v>
      </c>
      <c r="B21" s="8" t="s">
        <v>349</v>
      </c>
      <c r="C21" s="4" t="s">
        <v>348</v>
      </c>
      <c r="D21" s="7" t="s">
        <v>347</v>
      </c>
      <c r="E21" s="6">
        <v>46171</v>
      </c>
      <c r="F21" s="5">
        <v>0.63541666666666696</v>
      </c>
      <c r="G21" s="4" t="s">
        <v>55</v>
      </c>
      <c r="H21" s="10">
        <f t="shared" si="0"/>
        <v>30000</v>
      </c>
    </row>
    <row r="22" spans="1:8" x14ac:dyDescent="0.25">
      <c r="A22" s="4">
        <v>20</v>
      </c>
      <c r="B22" s="8">
        <v>64742230</v>
      </c>
      <c r="C22" s="4" t="s">
        <v>346</v>
      </c>
      <c r="D22" s="7" t="s">
        <v>345</v>
      </c>
      <c r="E22" s="6">
        <v>46172</v>
      </c>
      <c r="F22" s="5">
        <v>0.32361111111111102</v>
      </c>
      <c r="G22" s="4" t="s">
        <v>55</v>
      </c>
      <c r="H22" s="10">
        <f t="shared" si="0"/>
        <v>30000</v>
      </c>
    </row>
    <row r="23" spans="1:8" x14ac:dyDescent="0.25">
      <c r="A23" s="4">
        <v>21</v>
      </c>
      <c r="B23" s="8">
        <v>103038307</v>
      </c>
      <c r="C23" s="4" t="s">
        <v>344</v>
      </c>
      <c r="D23" s="7" t="s">
        <v>343</v>
      </c>
      <c r="E23" s="6">
        <v>46171</v>
      </c>
      <c r="F23" s="5">
        <v>0.63055555555555598</v>
      </c>
      <c r="G23" s="4" t="s">
        <v>55</v>
      </c>
      <c r="H23" s="10">
        <f t="shared" si="0"/>
        <v>30000</v>
      </c>
    </row>
    <row r="24" spans="1:8" x14ac:dyDescent="0.25">
      <c r="A24" s="4">
        <v>22</v>
      </c>
      <c r="B24" s="8">
        <v>71974667</v>
      </c>
      <c r="C24" s="4" t="s">
        <v>342</v>
      </c>
      <c r="D24" s="7" t="s">
        <v>341</v>
      </c>
      <c r="E24" s="6">
        <v>46171</v>
      </c>
      <c r="F24" s="5">
        <v>0.95208333333333295</v>
      </c>
      <c r="G24" s="4" t="s">
        <v>55</v>
      </c>
      <c r="H24" s="10">
        <f t="shared" si="0"/>
        <v>30000</v>
      </c>
    </row>
    <row r="25" spans="1:8" x14ac:dyDescent="0.25">
      <c r="A25" s="4">
        <v>23</v>
      </c>
      <c r="B25" s="8">
        <v>39445819</v>
      </c>
      <c r="C25" s="4" t="s">
        <v>340</v>
      </c>
      <c r="D25" s="7" t="s">
        <v>339</v>
      </c>
      <c r="E25" s="6">
        <v>46170</v>
      </c>
      <c r="F25" s="5">
        <v>0.71875</v>
      </c>
      <c r="G25" s="4" t="s">
        <v>55</v>
      </c>
      <c r="H25" s="10">
        <f t="shared" si="0"/>
        <v>30000</v>
      </c>
    </row>
    <row r="26" spans="1:8" x14ac:dyDescent="0.25">
      <c r="A26" s="4">
        <v>24</v>
      </c>
      <c r="B26" s="8">
        <v>1047422306</v>
      </c>
      <c r="C26" s="4" t="s">
        <v>338</v>
      </c>
      <c r="D26" s="7" t="s">
        <v>337</v>
      </c>
      <c r="E26" s="6">
        <v>46170</v>
      </c>
      <c r="F26" s="5">
        <v>0.71527777777777801</v>
      </c>
      <c r="G26" s="4" t="s">
        <v>55</v>
      </c>
      <c r="H26" s="10">
        <f t="shared" si="0"/>
        <v>30000</v>
      </c>
    </row>
    <row r="27" spans="1:8" x14ac:dyDescent="0.25">
      <c r="A27" s="4">
        <v>25</v>
      </c>
      <c r="B27" s="8" t="s">
        <v>336</v>
      </c>
      <c r="C27" s="4" t="s">
        <v>335</v>
      </c>
      <c r="D27" s="7" t="s">
        <v>334</v>
      </c>
      <c r="E27" s="6">
        <v>46171</v>
      </c>
      <c r="F27" s="5">
        <v>0.63263888888888897</v>
      </c>
      <c r="G27" s="4" t="s">
        <v>55</v>
      </c>
      <c r="H27" s="10">
        <f t="shared" si="0"/>
        <v>30000</v>
      </c>
    </row>
    <row r="28" spans="1:8" x14ac:dyDescent="0.25">
      <c r="A28" s="4">
        <v>26</v>
      </c>
      <c r="B28" s="8" t="s">
        <v>333</v>
      </c>
      <c r="C28" s="4" t="s">
        <v>332</v>
      </c>
      <c r="D28" s="7" t="s">
        <v>331</v>
      </c>
      <c r="E28" s="6">
        <v>46171</v>
      </c>
      <c r="F28" s="5">
        <v>0.63333333333333297</v>
      </c>
      <c r="G28" s="4" t="s">
        <v>55</v>
      </c>
      <c r="H28" s="10">
        <f t="shared" si="0"/>
        <v>30000</v>
      </c>
    </row>
    <row r="29" spans="1:8" x14ac:dyDescent="0.25">
      <c r="A29" s="4">
        <v>27</v>
      </c>
      <c r="B29" s="8">
        <v>32938856</v>
      </c>
      <c r="C29" s="4" t="s">
        <v>330</v>
      </c>
      <c r="D29" s="7" t="s">
        <v>329</v>
      </c>
      <c r="E29" s="6">
        <v>46171</v>
      </c>
      <c r="F29" s="5">
        <v>0.63055555555555598</v>
      </c>
      <c r="G29" s="4" t="s">
        <v>55</v>
      </c>
      <c r="H29" s="10">
        <f t="shared" si="0"/>
        <v>30000</v>
      </c>
    </row>
    <row r="30" spans="1:8" x14ac:dyDescent="0.25">
      <c r="A30" s="4">
        <v>28</v>
      </c>
      <c r="B30" s="8">
        <v>45466268</v>
      </c>
      <c r="C30" s="4" t="s">
        <v>328</v>
      </c>
      <c r="D30" s="7" t="s">
        <v>327</v>
      </c>
      <c r="E30" s="6">
        <v>46170</v>
      </c>
      <c r="F30" s="5">
        <v>0.62638888888888899</v>
      </c>
      <c r="G30" s="4" t="s">
        <v>55</v>
      </c>
      <c r="H30" s="10">
        <f t="shared" si="0"/>
        <v>30000</v>
      </c>
    </row>
    <row r="31" spans="1:8" x14ac:dyDescent="0.25">
      <c r="A31" s="4">
        <v>29</v>
      </c>
      <c r="B31" s="8">
        <v>1043296377</v>
      </c>
      <c r="C31" s="4" t="s">
        <v>326</v>
      </c>
      <c r="D31" s="7" t="s">
        <v>325</v>
      </c>
      <c r="E31" s="6">
        <v>46170</v>
      </c>
      <c r="F31" s="5">
        <v>0.96666666666666701</v>
      </c>
      <c r="G31" s="4" t="s">
        <v>55</v>
      </c>
      <c r="H31" s="10">
        <f t="shared" si="0"/>
        <v>30000</v>
      </c>
    </row>
    <row r="32" spans="1:8" x14ac:dyDescent="0.25">
      <c r="A32" s="4">
        <v>30</v>
      </c>
      <c r="B32" s="8">
        <v>45528609</v>
      </c>
      <c r="C32" s="4" t="s">
        <v>324</v>
      </c>
      <c r="D32" s="7" t="s">
        <v>323</v>
      </c>
      <c r="E32" s="6">
        <v>46170</v>
      </c>
      <c r="F32" s="5">
        <v>0.46180555555555602</v>
      </c>
      <c r="G32" s="4" t="s">
        <v>55</v>
      </c>
      <c r="H32" s="10">
        <f t="shared" si="0"/>
        <v>30000</v>
      </c>
    </row>
    <row r="33" spans="1:8" x14ac:dyDescent="0.25">
      <c r="A33" s="4">
        <v>31</v>
      </c>
      <c r="B33" s="8">
        <v>45508520</v>
      </c>
      <c r="C33" s="4" t="s">
        <v>322</v>
      </c>
      <c r="D33" s="7" t="s">
        <v>321</v>
      </c>
      <c r="E33" s="6">
        <v>46170</v>
      </c>
      <c r="F33" s="5">
        <v>0.42499999999999999</v>
      </c>
      <c r="G33" s="4" t="s">
        <v>55</v>
      </c>
      <c r="H33" s="10">
        <f t="shared" si="0"/>
        <v>30000</v>
      </c>
    </row>
    <row r="34" spans="1:8" x14ac:dyDescent="0.25">
      <c r="A34" s="4">
        <v>32</v>
      </c>
      <c r="B34" s="8">
        <v>1098638416</v>
      </c>
      <c r="C34" s="4" t="s">
        <v>320</v>
      </c>
      <c r="D34" s="7" t="s">
        <v>319</v>
      </c>
      <c r="E34" s="6">
        <v>46170</v>
      </c>
      <c r="F34" s="5">
        <v>0.49166666666666697</v>
      </c>
      <c r="G34" s="4" t="s">
        <v>55</v>
      </c>
      <c r="H34" s="10">
        <f t="shared" si="0"/>
        <v>30000</v>
      </c>
    </row>
    <row r="35" spans="1:8" x14ac:dyDescent="0.25">
      <c r="A35" s="4">
        <v>33</v>
      </c>
      <c r="B35" s="8">
        <v>43549900</v>
      </c>
      <c r="C35" s="4" t="s">
        <v>318</v>
      </c>
      <c r="D35" s="7" t="s">
        <v>317</v>
      </c>
      <c r="E35" s="6">
        <v>46170</v>
      </c>
      <c r="F35" s="5">
        <v>0.8125</v>
      </c>
      <c r="G35" s="4" t="s">
        <v>55</v>
      </c>
      <c r="H35" s="10">
        <f t="shared" ref="H35:H66" si="1">VLOOKUP(G35,$M$2:$N$2,2)</f>
        <v>30000</v>
      </c>
    </row>
    <row r="36" spans="1:8" x14ac:dyDescent="0.25">
      <c r="A36" s="4">
        <v>34</v>
      </c>
      <c r="B36" s="8">
        <v>43701540</v>
      </c>
      <c r="C36" s="4" t="s">
        <v>44</v>
      </c>
      <c r="D36" s="7" t="s">
        <v>316</v>
      </c>
      <c r="E36" s="6">
        <v>46170</v>
      </c>
      <c r="F36" s="5">
        <v>0.64236111111111105</v>
      </c>
      <c r="G36" s="4" t="s">
        <v>55</v>
      </c>
      <c r="H36" s="10">
        <f t="shared" si="1"/>
        <v>30000</v>
      </c>
    </row>
    <row r="37" spans="1:8" x14ac:dyDescent="0.25">
      <c r="A37" s="4">
        <v>35</v>
      </c>
      <c r="B37" s="8">
        <v>15675299</v>
      </c>
      <c r="C37" s="4" t="s">
        <v>315</v>
      </c>
      <c r="D37" s="7" t="s">
        <v>314</v>
      </c>
      <c r="E37" s="6">
        <v>46170</v>
      </c>
      <c r="F37" s="5">
        <v>0.73888888888888904</v>
      </c>
      <c r="G37" s="4" t="s">
        <v>55</v>
      </c>
      <c r="H37" s="10">
        <f t="shared" si="1"/>
        <v>30000</v>
      </c>
    </row>
    <row r="38" spans="1:8" x14ac:dyDescent="0.25">
      <c r="A38" s="4">
        <v>36</v>
      </c>
      <c r="B38" s="8" t="s">
        <v>313</v>
      </c>
      <c r="C38" s="4" t="s">
        <v>312</v>
      </c>
      <c r="D38" s="7" t="s">
        <v>311</v>
      </c>
      <c r="E38" s="6">
        <v>46171</v>
      </c>
      <c r="F38" s="5">
        <v>2.5694444444444402E-2</v>
      </c>
      <c r="G38" s="4" t="s">
        <v>55</v>
      </c>
      <c r="H38" s="10">
        <f t="shared" si="1"/>
        <v>30000</v>
      </c>
    </row>
    <row r="39" spans="1:8" x14ac:dyDescent="0.25">
      <c r="A39" s="4">
        <v>37</v>
      </c>
      <c r="B39" s="8" t="s">
        <v>310</v>
      </c>
      <c r="C39" s="4" t="s">
        <v>309</v>
      </c>
      <c r="D39" s="7" t="s">
        <v>241</v>
      </c>
      <c r="E39" s="6">
        <v>46170</v>
      </c>
      <c r="F39" s="5">
        <v>0.280555555555556</v>
      </c>
      <c r="G39" s="4" t="s">
        <v>55</v>
      </c>
      <c r="H39" s="10">
        <f t="shared" si="1"/>
        <v>30000</v>
      </c>
    </row>
    <row r="40" spans="1:8" x14ac:dyDescent="0.25">
      <c r="A40" s="4">
        <v>38</v>
      </c>
      <c r="B40" s="8">
        <v>94412592</v>
      </c>
      <c r="C40" s="4" t="s">
        <v>308</v>
      </c>
      <c r="D40" s="7" t="s">
        <v>307</v>
      </c>
      <c r="E40" s="6">
        <v>46170</v>
      </c>
      <c r="F40" s="5">
        <v>0.64652777777777803</v>
      </c>
      <c r="G40" s="4" t="s">
        <v>55</v>
      </c>
      <c r="H40" s="10">
        <f t="shared" si="1"/>
        <v>30000</v>
      </c>
    </row>
    <row r="41" spans="1:8" x14ac:dyDescent="0.25">
      <c r="A41" s="4">
        <v>39</v>
      </c>
      <c r="B41" s="8">
        <v>1003123643</v>
      </c>
      <c r="C41" s="4" t="s">
        <v>306</v>
      </c>
      <c r="D41" s="7" t="s">
        <v>305</v>
      </c>
      <c r="E41" s="6">
        <v>46170</v>
      </c>
      <c r="F41" s="5">
        <v>0.56111111111111101</v>
      </c>
      <c r="G41" s="4" t="s">
        <v>55</v>
      </c>
      <c r="H41" s="10">
        <f t="shared" si="1"/>
        <v>30000</v>
      </c>
    </row>
    <row r="42" spans="1:8" x14ac:dyDescent="0.25">
      <c r="A42" s="4">
        <v>40</v>
      </c>
      <c r="B42" s="8">
        <v>64572288</v>
      </c>
      <c r="C42" s="4" t="s">
        <v>304</v>
      </c>
      <c r="D42" s="7" t="s">
        <v>303</v>
      </c>
      <c r="E42" s="6">
        <v>46171</v>
      </c>
      <c r="F42" s="5">
        <v>0.54513888888888895</v>
      </c>
      <c r="G42" s="4" t="s">
        <v>55</v>
      </c>
      <c r="H42" s="10">
        <f t="shared" si="1"/>
        <v>30000</v>
      </c>
    </row>
    <row r="43" spans="1:8" x14ac:dyDescent="0.25">
      <c r="A43" s="4">
        <v>41</v>
      </c>
      <c r="B43" s="8">
        <v>73086618</v>
      </c>
      <c r="C43" s="4" t="s">
        <v>302</v>
      </c>
      <c r="D43" s="7">
        <v>175132</v>
      </c>
      <c r="E43" s="6">
        <v>46170</v>
      </c>
      <c r="F43" s="5">
        <v>0.686805555555556</v>
      </c>
      <c r="G43" s="4" t="s">
        <v>55</v>
      </c>
      <c r="H43" s="10">
        <f t="shared" si="1"/>
        <v>30000</v>
      </c>
    </row>
    <row r="44" spans="1:8" x14ac:dyDescent="0.25">
      <c r="A44" s="4">
        <v>42</v>
      </c>
      <c r="B44" s="8">
        <v>1090497115</v>
      </c>
      <c r="C44" s="4" t="s">
        <v>301</v>
      </c>
      <c r="D44" s="7" t="s">
        <v>300</v>
      </c>
      <c r="E44" s="6">
        <v>46166</v>
      </c>
      <c r="F44" s="5">
        <v>0.78819444444444398</v>
      </c>
      <c r="G44" s="4" t="s">
        <v>55</v>
      </c>
      <c r="H44" s="10">
        <f t="shared" si="1"/>
        <v>30000</v>
      </c>
    </row>
    <row r="45" spans="1:8" x14ac:dyDescent="0.25">
      <c r="A45" s="4">
        <v>43</v>
      </c>
      <c r="B45" s="8">
        <v>15361684</v>
      </c>
      <c r="C45" s="4" t="s">
        <v>299</v>
      </c>
      <c r="D45" s="7" t="s">
        <v>298</v>
      </c>
      <c r="E45" s="6">
        <v>46172</v>
      </c>
      <c r="F45" s="5">
        <v>0.37708333333333299</v>
      </c>
      <c r="G45" s="4" t="s">
        <v>55</v>
      </c>
      <c r="H45" s="10">
        <f t="shared" si="1"/>
        <v>30000</v>
      </c>
    </row>
    <row r="46" spans="1:8" x14ac:dyDescent="0.25">
      <c r="A46" s="4">
        <v>44</v>
      </c>
      <c r="B46" s="8">
        <v>45501535</v>
      </c>
      <c r="C46" s="4" t="s">
        <v>297</v>
      </c>
      <c r="D46" s="7" t="s">
        <v>296</v>
      </c>
      <c r="E46" s="6">
        <v>46170</v>
      </c>
      <c r="F46" s="5">
        <v>0.63749999999999996</v>
      </c>
      <c r="G46" s="4" t="s">
        <v>55</v>
      </c>
      <c r="H46" s="10">
        <f t="shared" si="1"/>
        <v>30000</v>
      </c>
    </row>
    <row r="47" spans="1:8" x14ac:dyDescent="0.25">
      <c r="A47" s="4">
        <v>45</v>
      </c>
      <c r="B47" s="8" t="s">
        <v>295</v>
      </c>
      <c r="C47" s="4" t="s">
        <v>294</v>
      </c>
      <c r="D47" s="7" t="s">
        <v>293</v>
      </c>
      <c r="E47" s="6">
        <v>46170</v>
      </c>
      <c r="F47" s="5">
        <v>0.66388888888888897</v>
      </c>
      <c r="G47" s="4" t="s">
        <v>55</v>
      </c>
      <c r="H47" s="10">
        <f t="shared" si="1"/>
        <v>30000</v>
      </c>
    </row>
    <row r="48" spans="1:8" x14ac:dyDescent="0.25">
      <c r="A48" s="4">
        <v>46</v>
      </c>
      <c r="B48" s="8">
        <v>45465328</v>
      </c>
      <c r="C48" s="4" t="s">
        <v>292</v>
      </c>
      <c r="D48" s="7" t="s">
        <v>291</v>
      </c>
      <c r="E48" s="6">
        <v>46170</v>
      </c>
      <c r="F48" s="5">
        <v>0.45486111111111099</v>
      </c>
      <c r="G48" s="4" t="s">
        <v>55</v>
      </c>
      <c r="H48" s="10">
        <f t="shared" si="1"/>
        <v>30000</v>
      </c>
    </row>
    <row r="49" spans="1:8" x14ac:dyDescent="0.25">
      <c r="A49" s="4">
        <v>47</v>
      </c>
      <c r="B49" s="8">
        <v>73100444</v>
      </c>
      <c r="C49" s="4" t="s">
        <v>290</v>
      </c>
      <c r="D49" s="7" t="s">
        <v>289</v>
      </c>
      <c r="E49" s="6">
        <v>46170</v>
      </c>
      <c r="F49" s="5">
        <v>0.69374999999999998</v>
      </c>
      <c r="G49" s="4" t="s">
        <v>55</v>
      </c>
      <c r="H49" s="10">
        <f t="shared" si="1"/>
        <v>30000</v>
      </c>
    </row>
    <row r="50" spans="1:8" x14ac:dyDescent="0.25">
      <c r="A50" s="4">
        <v>48</v>
      </c>
      <c r="B50" s="8">
        <v>1091974651</v>
      </c>
      <c r="C50" s="4" t="s">
        <v>288</v>
      </c>
      <c r="D50" s="7" t="s">
        <v>287</v>
      </c>
      <c r="E50" s="6">
        <v>46170</v>
      </c>
      <c r="F50" s="5">
        <v>0.62847222222222199</v>
      </c>
      <c r="G50" s="4" t="s">
        <v>55</v>
      </c>
      <c r="H50" s="10">
        <f t="shared" si="1"/>
        <v>30000</v>
      </c>
    </row>
    <row r="51" spans="1:8" x14ac:dyDescent="0.25">
      <c r="A51" s="4">
        <v>49</v>
      </c>
      <c r="B51" s="8">
        <v>7918090</v>
      </c>
      <c r="C51" s="4" t="s">
        <v>286</v>
      </c>
      <c r="D51" s="7" t="s">
        <v>285</v>
      </c>
      <c r="E51" s="6">
        <v>46170</v>
      </c>
      <c r="F51" s="5">
        <v>0.76180555555555596</v>
      </c>
      <c r="G51" s="4" t="s">
        <v>55</v>
      </c>
      <c r="H51" s="10">
        <f t="shared" si="1"/>
        <v>30000</v>
      </c>
    </row>
    <row r="52" spans="1:8" x14ac:dyDescent="0.25">
      <c r="A52" s="4">
        <v>50</v>
      </c>
      <c r="B52" s="8">
        <v>18970904</v>
      </c>
      <c r="C52" s="4" t="s">
        <v>284</v>
      </c>
      <c r="D52" s="7" t="s">
        <v>283</v>
      </c>
      <c r="E52" s="6">
        <v>46170</v>
      </c>
      <c r="F52" s="5">
        <v>0.50277777777777799</v>
      </c>
      <c r="G52" s="4" t="s">
        <v>55</v>
      </c>
      <c r="H52" s="10">
        <f t="shared" si="1"/>
        <v>30000</v>
      </c>
    </row>
    <row r="53" spans="1:8" x14ac:dyDescent="0.25">
      <c r="A53" s="4">
        <v>51</v>
      </c>
      <c r="B53" s="8">
        <v>12510340</v>
      </c>
      <c r="C53" s="4" t="s">
        <v>282</v>
      </c>
      <c r="D53" s="7" t="s">
        <v>281</v>
      </c>
      <c r="E53" s="6">
        <v>46170</v>
      </c>
      <c r="F53" s="5">
        <v>0.52361111111111103</v>
      </c>
      <c r="G53" s="4" t="s">
        <v>55</v>
      </c>
      <c r="H53" s="10">
        <f t="shared" si="1"/>
        <v>30000</v>
      </c>
    </row>
    <row r="54" spans="1:8" x14ac:dyDescent="0.25">
      <c r="A54" s="4">
        <v>52</v>
      </c>
      <c r="B54" s="8">
        <v>73148016</v>
      </c>
      <c r="C54" s="4" t="s">
        <v>280</v>
      </c>
      <c r="D54" s="7" t="s">
        <v>279</v>
      </c>
      <c r="E54" s="6">
        <v>46170</v>
      </c>
      <c r="F54" s="5">
        <v>0.54236111111111096</v>
      </c>
      <c r="G54" s="4" t="s">
        <v>55</v>
      </c>
      <c r="H54" s="10">
        <f t="shared" si="1"/>
        <v>30000</v>
      </c>
    </row>
    <row r="55" spans="1:8" x14ac:dyDescent="0.25">
      <c r="A55" s="4">
        <v>53</v>
      </c>
      <c r="B55" s="8">
        <v>19411139</v>
      </c>
      <c r="C55" s="4" t="s">
        <v>278</v>
      </c>
      <c r="D55" s="7" t="s">
        <v>277</v>
      </c>
      <c r="E55" s="6">
        <v>46170</v>
      </c>
      <c r="F55" s="5">
        <v>0.64861111111111103</v>
      </c>
      <c r="G55" s="4" t="s">
        <v>55</v>
      </c>
      <c r="H55" s="10">
        <f t="shared" si="1"/>
        <v>30000</v>
      </c>
    </row>
    <row r="56" spans="1:8" x14ac:dyDescent="0.25">
      <c r="A56" s="4">
        <v>54</v>
      </c>
      <c r="B56" s="8">
        <v>73240371</v>
      </c>
      <c r="C56" s="4" t="s">
        <v>276</v>
      </c>
      <c r="D56" s="7" t="s">
        <v>275</v>
      </c>
      <c r="E56" s="6">
        <v>46170</v>
      </c>
      <c r="F56" s="5">
        <v>0.92847222222222203</v>
      </c>
      <c r="G56" s="4" t="s">
        <v>55</v>
      </c>
      <c r="H56" s="10">
        <f t="shared" si="1"/>
        <v>30000</v>
      </c>
    </row>
    <row r="57" spans="1:8" x14ac:dyDescent="0.25">
      <c r="A57" s="4">
        <v>55</v>
      </c>
      <c r="B57" s="8" t="s">
        <v>274</v>
      </c>
      <c r="C57" s="4" t="s">
        <v>273</v>
      </c>
      <c r="D57" s="7" t="s">
        <v>272</v>
      </c>
      <c r="E57" s="6">
        <v>46170</v>
      </c>
      <c r="F57" s="5">
        <v>0.68263888888888902</v>
      </c>
      <c r="G57" s="4" t="s">
        <v>55</v>
      </c>
      <c r="H57" s="10">
        <f t="shared" si="1"/>
        <v>30000</v>
      </c>
    </row>
    <row r="58" spans="1:8" x14ac:dyDescent="0.25">
      <c r="A58" s="4">
        <v>56</v>
      </c>
      <c r="B58" s="8">
        <v>63464814</v>
      </c>
      <c r="C58" s="4" t="s">
        <v>271</v>
      </c>
      <c r="D58" s="7">
        <v>351295</v>
      </c>
      <c r="E58" s="6">
        <v>46170</v>
      </c>
      <c r="F58" s="5">
        <v>0.625</v>
      </c>
      <c r="G58" s="4" t="s">
        <v>55</v>
      </c>
      <c r="H58" s="10">
        <f t="shared" si="1"/>
        <v>30000</v>
      </c>
    </row>
    <row r="59" spans="1:8" x14ac:dyDescent="0.25">
      <c r="A59" s="4">
        <v>57</v>
      </c>
      <c r="B59" s="8">
        <v>1007684726</v>
      </c>
      <c r="C59" s="4" t="s">
        <v>270</v>
      </c>
      <c r="D59" s="7" t="s">
        <v>269</v>
      </c>
      <c r="E59" s="6">
        <v>46170</v>
      </c>
      <c r="F59" s="5">
        <v>0.65763888888888899</v>
      </c>
      <c r="G59" s="4" t="s">
        <v>55</v>
      </c>
      <c r="H59" s="10">
        <f t="shared" si="1"/>
        <v>30000</v>
      </c>
    </row>
    <row r="60" spans="1:8" x14ac:dyDescent="0.25">
      <c r="A60" s="4">
        <v>58</v>
      </c>
      <c r="B60" s="8">
        <v>1047498748</v>
      </c>
      <c r="C60" s="4" t="s">
        <v>268</v>
      </c>
      <c r="D60" s="7" t="s">
        <v>267</v>
      </c>
      <c r="E60" s="6">
        <v>46170</v>
      </c>
      <c r="F60" s="5">
        <v>0.811805555555556</v>
      </c>
      <c r="G60" s="4" t="s">
        <v>55</v>
      </c>
      <c r="H60" s="10">
        <f t="shared" si="1"/>
        <v>30000</v>
      </c>
    </row>
    <row r="61" spans="1:8" x14ac:dyDescent="0.25">
      <c r="A61" s="4">
        <v>59</v>
      </c>
      <c r="B61" s="8">
        <v>73154925</v>
      </c>
      <c r="C61" s="4" t="s">
        <v>266</v>
      </c>
      <c r="D61" s="7" t="s">
        <v>265</v>
      </c>
      <c r="E61" s="6">
        <v>46171</v>
      </c>
      <c r="F61" s="5">
        <v>0.11111111111111099</v>
      </c>
      <c r="G61" s="4" t="s">
        <v>55</v>
      </c>
      <c r="H61" s="10">
        <f t="shared" si="1"/>
        <v>30000</v>
      </c>
    </row>
    <row r="62" spans="1:8" x14ac:dyDescent="0.25">
      <c r="A62" s="4">
        <v>60</v>
      </c>
      <c r="B62" s="8">
        <v>30568764</v>
      </c>
      <c r="C62" s="4" t="s">
        <v>264</v>
      </c>
      <c r="D62" s="7" t="s">
        <v>263</v>
      </c>
      <c r="E62" s="6">
        <v>46170</v>
      </c>
      <c r="F62" s="5">
        <v>0.65486111111111101</v>
      </c>
      <c r="G62" s="4" t="s">
        <v>55</v>
      </c>
      <c r="H62" s="10">
        <f t="shared" si="1"/>
        <v>30000</v>
      </c>
    </row>
    <row r="63" spans="1:8" x14ac:dyDescent="0.25">
      <c r="A63" s="4">
        <v>61</v>
      </c>
      <c r="B63" s="8">
        <v>45458397</v>
      </c>
      <c r="C63" s="4" t="s">
        <v>262</v>
      </c>
      <c r="D63" s="7" t="s">
        <v>261</v>
      </c>
      <c r="E63" s="6">
        <v>46170</v>
      </c>
      <c r="F63" s="5">
        <v>0.53819444444444398</v>
      </c>
      <c r="G63" s="4" t="s">
        <v>55</v>
      </c>
      <c r="H63" s="10">
        <f t="shared" si="1"/>
        <v>30000</v>
      </c>
    </row>
    <row r="64" spans="1:8" x14ac:dyDescent="0.25">
      <c r="A64" s="4">
        <v>62</v>
      </c>
      <c r="B64" s="8">
        <v>1082849938</v>
      </c>
      <c r="C64" s="4" t="s">
        <v>260</v>
      </c>
      <c r="D64" s="7" t="s">
        <v>259</v>
      </c>
      <c r="E64" s="6">
        <v>46170</v>
      </c>
      <c r="F64" s="5">
        <v>0.65</v>
      </c>
      <c r="G64" s="4" t="s">
        <v>55</v>
      </c>
      <c r="H64" s="10">
        <f t="shared" si="1"/>
        <v>30000</v>
      </c>
    </row>
    <row r="65" spans="1:8" x14ac:dyDescent="0.25">
      <c r="A65" s="4">
        <v>63</v>
      </c>
      <c r="B65" s="8">
        <v>12564392</v>
      </c>
      <c r="C65" s="4" t="s">
        <v>258</v>
      </c>
      <c r="D65" s="7" t="s">
        <v>257</v>
      </c>
      <c r="E65" s="6">
        <v>46170</v>
      </c>
      <c r="F65" s="5">
        <v>0.85069444444444398</v>
      </c>
      <c r="G65" s="4" t="s">
        <v>55</v>
      </c>
      <c r="H65" s="10">
        <f t="shared" si="1"/>
        <v>30000</v>
      </c>
    </row>
    <row r="66" spans="1:8" x14ac:dyDescent="0.25">
      <c r="A66" s="4">
        <v>64</v>
      </c>
      <c r="B66" s="8">
        <v>15040971</v>
      </c>
      <c r="C66" s="4" t="s">
        <v>256</v>
      </c>
      <c r="D66" s="7">
        <v>749231</v>
      </c>
      <c r="E66" s="6">
        <v>46170</v>
      </c>
      <c r="F66" s="5">
        <v>0.68611111111111101</v>
      </c>
      <c r="G66" s="4" t="s">
        <v>55</v>
      </c>
      <c r="H66" s="10">
        <f t="shared" si="1"/>
        <v>30000</v>
      </c>
    </row>
    <row r="67" spans="1:8" x14ac:dyDescent="0.25">
      <c r="A67" s="4">
        <v>65</v>
      </c>
      <c r="B67" s="8">
        <v>88238165</v>
      </c>
      <c r="C67" s="4" t="s">
        <v>255</v>
      </c>
      <c r="D67" s="7" t="s">
        <v>254</v>
      </c>
      <c r="E67" s="6">
        <v>46166</v>
      </c>
      <c r="F67" s="5">
        <v>0.72916666666666696</v>
      </c>
      <c r="G67" s="4" t="s">
        <v>55</v>
      </c>
      <c r="H67" s="10">
        <f t="shared" ref="H67:H98" si="2">VLOOKUP(G67,$M$2:$N$2,2)</f>
        <v>30000</v>
      </c>
    </row>
    <row r="68" spans="1:8" x14ac:dyDescent="0.25">
      <c r="A68" s="4">
        <v>66</v>
      </c>
      <c r="B68" s="8">
        <v>1005025988</v>
      </c>
      <c r="C68" s="4" t="s">
        <v>253</v>
      </c>
      <c r="D68" s="7" t="s">
        <v>252</v>
      </c>
      <c r="E68" s="6">
        <v>46166</v>
      </c>
      <c r="F68" s="5">
        <v>0.71527777777777801</v>
      </c>
      <c r="G68" s="4" t="s">
        <v>55</v>
      </c>
      <c r="H68" s="10">
        <f t="shared" si="2"/>
        <v>30000</v>
      </c>
    </row>
    <row r="69" spans="1:8" x14ac:dyDescent="0.25">
      <c r="A69" s="4">
        <v>67</v>
      </c>
      <c r="B69" s="8">
        <v>7378138</v>
      </c>
      <c r="C69" s="4" t="s">
        <v>251</v>
      </c>
      <c r="D69" s="7" t="s">
        <v>250</v>
      </c>
      <c r="E69" s="6">
        <v>46170</v>
      </c>
      <c r="F69" s="5">
        <v>0.77986111111111101</v>
      </c>
      <c r="G69" s="4" t="s">
        <v>55</v>
      </c>
      <c r="H69" s="10">
        <f t="shared" si="2"/>
        <v>30000</v>
      </c>
    </row>
    <row r="70" spans="1:8" x14ac:dyDescent="0.25">
      <c r="A70" s="4">
        <v>68</v>
      </c>
      <c r="B70" s="8">
        <v>73569700</v>
      </c>
      <c r="C70" s="4" t="s">
        <v>249</v>
      </c>
      <c r="D70" s="7" t="s">
        <v>248</v>
      </c>
      <c r="E70" s="6">
        <v>46170</v>
      </c>
      <c r="F70" s="5">
        <v>0.47916666666666702</v>
      </c>
      <c r="G70" s="4" t="s">
        <v>55</v>
      </c>
      <c r="H70" s="10">
        <f t="shared" si="2"/>
        <v>30000</v>
      </c>
    </row>
    <row r="71" spans="1:8" x14ac:dyDescent="0.25">
      <c r="A71" s="4">
        <v>69</v>
      </c>
      <c r="B71" s="8">
        <v>45529395</v>
      </c>
      <c r="C71" s="4" t="s">
        <v>247</v>
      </c>
      <c r="D71" s="7" t="s">
        <v>246</v>
      </c>
      <c r="E71" s="6">
        <v>46170</v>
      </c>
      <c r="F71" s="5">
        <v>0.82152777777777797</v>
      </c>
      <c r="G71" s="4" t="s">
        <v>55</v>
      </c>
      <c r="H71" s="10">
        <f t="shared" si="2"/>
        <v>30000</v>
      </c>
    </row>
    <row r="72" spans="1:8" x14ac:dyDescent="0.25">
      <c r="A72" s="4">
        <v>70</v>
      </c>
      <c r="B72" s="8">
        <v>73072527</v>
      </c>
      <c r="C72" s="4" t="s">
        <v>245</v>
      </c>
      <c r="D72" s="7" t="s">
        <v>244</v>
      </c>
      <c r="E72" s="6">
        <v>46170</v>
      </c>
      <c r="F72" s="5">
        <v>0.82499999999999996</v>
      </c>
      <c r="G72" s="4" t="s">
        <v>55</v>
      </c>
      <c r="H72" s="10">
        <f t="shared" si="2"/>
        <v>30000</v>
      </c>
    </row>
    <row r="73" spans="1:8" x14ac:dyDescent="0.25">
      <c r="A73" s="4">
        <v>71</v>
      </c>
      <c r="B73" s="8" t="s">
        <v>243</v>
      </c>
      <c r="C73" s="4" t="s">
        <v>242</v>
      </c>
      <c r="D73" s="7" t="s">
        <v>241</v>
      </c>
      <c r="E73" s="6">
        <v>46168</v>
      </c>
      <c r="F73" s="5">
        <v>0.52569444444444402</v>
      </c>
      <c r="G73" s="4" t="s">
        <v>55</v>
      </c>
      <c r="H73" s="10">
        <f t="shared" si="2"/>
        <v>30000</v>
      </c>
    </row>
    <row r="74" spans="1:8" x14ac:dyDescent="0.25">
      <c r="A74" s="4">
        <v>72</v>
      </c>
      <c r="B74" s="8">
        <v>10471436212</v>
      </c>
      <c r="C74" s="4" t="s">
        <v>240</v>
      </c>
      <c r="D74" s="7" t="s">
        <v>239</v>
      </c>
      <c r="E74" s="6">
        <v>46171</v>
      </c>
      <c r="F74" s="5">
        <v>0.10347222222222199</v>
      </c>
      <c r="G74" s="4" t="s">
        <v>55</v>
      </c>
      <c r="H74" s="10">
        <f t="shared" si="2"/>
        <v>30000</v>
      </c>
    </row>
    <row r="75" spans="1:8" x14ac:dyDescent="0.25">
      <c r="A75" s="4">
        <v>73</v>
      </c>
      <c r="B75" s="8">
        <v>73154005</v>
      </c>
      <c r="C75" s="4" t="s">
        <v>238</v>
      </c>
      <c r="D75" s="7" t="s">
        <v>237</v>
      </c>
      <c r="E75" s="6">
        <v>46171</v>
      </c>
      <c r="F75" s="5">
        <v>0.12708333333333299</v>
      </c>
      <c r="G75" s="4" t="s">
        <v>55</v>
      </c>
      <c r="H75" s="10">
        <f t="shared" si="2"/>
        <v>30000</v>
      </c>
    </row>
    <row r="76" spans="1:8" x14ac:dyDescent="0.25">
      <c r="A76" s="4">
        <v>74</v>
      </c>
      <c r="B76" s="8">
        <v>1143340614</v>
      </c>
      <c r="C76" s="4" t="s">
        <v>236</v>
      </c>
      <c r="D76" s="7" t="s">
        <v>235</v>
      </c>
      <c r="E76" s="6">
        <v>46171</v>
      </c>
      <c r="F76" s="5">
        <v>0.1125</v>
      </c>
      <c r="G76" s="4" t="s">
        <v>55</v>
      </c>
      <c r="H76" s="10">
        <f t="shared" si="2"/>
        <v>30000</v>
      </c>
    </row>
    <row r="77" spans="1:8" x14ac:dyDescent="0.25">
      <c r="A77" s="4">
        <v>75</v>
      </c>
      <c r="B77" s="8">
        <v>45453992</v>
      </c>
      <c r="C77" s="4" t="s">
        <v>234</v>
      </c>
      <c r="D77" s="7" t="s">
        <v>233</v>
      </c>
      <c r="E77" s="6">
        <v>46170</v>
      </c>
      <c r="F77" s="5">
        <v>0.83402777777777803</v>
      </c>
      <c r="G77" s="4" t="s">
        <v>55</v>
      </c>
      <c r="H77" s="10">
        <f t="shared" si="2"/>
        <v>30000</v>
      </c>
    </row>
    <row r="78" spans="1:8" x14ac:dyDescent="0.25">
      <c r="A78" s="4">
        <v>76</v>
      </c>
      <c r="B78" s="8">
        <v>45490782</v>
      </c>
      <c r="C78" s="4" t="s">
        <v>232</v>
      </c>
      <c r="D78" s="7" t="s">
        <v>231</v>
      </c>
      <c r="E78" s="6">
        <v>46170</v>
      </c>
      <c r="F78" s="5">
        <v>0.80486111111111103</v>
      </c>
      <c r="G78" s="4" t="s">
        <v>55</v>
      </c>
      <c r="H78" s="10">
        <f t="shared" si="2"/>
        <v>30000</v>
      </c>
    </row>
    <row r="79" spans="1:8" x14ac:dyDescent="0.25">
      <c r="A79" s="4">
        <v>77</v>
      </c>
      <c r="B79" s="8">
        <v>1047432416</v>
      </c>
      <c r="C79" s="4" t="s">
        <v>230</v>
      </c>
      <c r="D79" s="7" t="s">
        <v>229</v>
      </c>
      <c r="E79" s="6">
        <v>46167</v>
      </c>
      <c r="F79" s="5">
        <v>0.70763888888888904</v>
      </c>
      <c r="G79" s="4" t="s">
        <v>55</v>
      </c>
      <c r="H79" s="10">
        <f t="shared" si="2"/>
        <v>30000</v>
      </c>
    </row>
    <row r="80" spans="1:8" x14ac:dyDescent="0.25">
      <c r="A80" s="4">
        <v>78</v>
      </c>
      <c r="B80" s="8">
        <v>45509796</v>
      </c>
      <c r="C80" s="4" t="s">
        <v>228</v>
      </c>
      <c r="D80" s="7" t="s">
        <v>227</v>
      </c>
      <c r="E80" s="6">
        <v>46171</v>
      </c>
      <c r="F80" s="5">
        <v>7.9861111111111105E-2</v>
      </c>
      <c r="G80" s="4" t="s">
        <v>55</v>
      </c>
      <c r="H80" s="10">
        <f t="shared" si="2"/>
        <v>30000</v>
      </c>
    </row>
    <row r="81" spans="1:8" x14ac:dyDescent="0.25">
      <c r="A81" s="4">
        <v>79</v>
      </c>
      <c r="B81" s="8">
        <v>18971590</v>
      </c>
      <c r="C81" s="4" t="s">
        <v>226</v>
      </c>
      <c r="D81" s="7" t="s">
        <v>225</v>
      </c>
      <c r="E81" s="6">
        <v>46170</v>
      </c>
      <c r="F81" s="5">
        <v>0.89097222222222205</v>
      </c>
      <c r="G81" s="4" t="s">
        <v>55</v>
      </c>
      <c r="H81" s="10">
        <f t="shared" si="2"/>
        <v>30000</v>
      </c>
    </row>
    <row r="82" spans="1:8" x14ac:dyDescent="0.25">
      <c r="A82" s="4">
        <v>80</v>
      </c>
      <c r="B82" s="8">
        <v>42977614</v>
      </c>
      <c r="C82" s="4" t="s">
        <v>224</v>
      </c>
      <c r="D82" s="7">
        <v>382360</v>
      </c>
      <c r="E82" s="6">
        <v>46170</v>
      </c>
      <c r="F82" s="5">
        <v>0.45</v>
      </c>
      <c r="G82" s="4" t="s">
        <v>55</v>
      </c>
      <c r="H82" s="10">
        <f t="shared" si="2"/>
        <v>30000</v>
      </c>
    </row>
    <row r="83" spans="1:8" x14ac:dyDescent="0.25">
      <c r="A83" s="4">
        <v>81</v>
      </c>
      <c r="B83" s="8">
        <v>37253656</v>
      </c>
      <c r="C83" s="4" t="s">
        <v>223</v>
      </c>
      <c r="D83" s="7" t="s">
        <v>222</v>
      </c>
      <c r="E83" s="6">
        <v>46169</v>
      </c>
      <c r="F83" s="5">
        <v>0.98194444444444395</v>
      </c>
      <c r="G83" s="4" t="s">
        <v>55</v>
      </c>
      <c r="H83" s="10">
        <f t="shared" si="2"/>
        <v>30000</v>
      </c>
    </row>
    <row r="84" spans="1:8" x14ac:dyDescent="0.25">
      <c r="A84" s="4">
        <v>82</v>
      </c>
      <c r="B84" s="8">
        <v>64701485</v>
      </c>
      <c r="C84" s="4" t="s">
        <v>221</v>
      </c>
      <c r="D84" s="7" t="s">
        <v>220</v>
      </c>
      <c r="E84" s="6">
        <v>46170</v>
      </c>
      <c r="F84" s="5">
        <v>0.44791666666666702</v>
      </c>
      <c r="G84" s="4" t="s">
        <v>55</v>
      </c>
      <c r="H84" s="10">
        <f t="shared" si="2"/>
        <v>30000</v>
      </c>
    </row>
    <row r="85" spans="1:8" x14ac:dyDescent="0.25">
      <c r="A85" s="4">
        <v>83</v>
      </c>
      <c r="B85" s="8">
        <v>1069491466</v>
      </c>
      <c r="C85" s="4" t="s">
        <v>219</v>
      </c>
      <c r="D85" s="7" t="s">
        <v>218</v>
      </c>
      <c r="E85" s="6">
        <v>46170</v>
      </c>
      <c r="F85" s="5">
        <v>0.69444444444444398</v>
      </c>
      <c r="G85" s="4" t="s">
        <v>55</v>
      </c>
      <c r="H85" s="10">
        <f t="shared" si="2"/>
        <v>30000</v>
      </c>
    </row>
    <row r="86" spans="1:8" x14ac:dyDescent="0.25">
      <c r="A86" s="4">
        <v>84</v>
      </c>
      <c r="B86" s="8">
        <v>1047387126</v>
      </c>
      <c r="C86" s="4" t="s">
        <v>217</v>
      </c>
      <c r="D86" s="7" t="s">
        <v>216</v>
      </c>
      <c r="E86" s="6">
        <v>46170</v>
      </c>
      <c r="F86" s="5">
        <v>0.55069444444444404</v>
      </c>
      <c r="G86" s="4" t="s">
        <v>55</v>
      </c>
      <c r="H86" s="10">
        <f t="shared" si="2"/>
        <v>30000</v>
      </c>
    </row>
    <row r="87" spans="1:8" x14ac:dyDescent="0.25">
      <c r="A87" s="4">
        <v>85</v>
      </c>
      <c r="B87" s="8">
        <v>11807285</v>
      </c>
      <c r="C87" s="4" t="s">
        <v>215</v>
      </c>
      <c r="D87" s="7">
        <v>514163</v>
      </c>
      <c r="E87" s="6">
        <v>46170</v>
      </c>
      <c r="F87" s="5">
        <v>0.47361111111111098</v>
      </c>
      <c r="G87" s="4" t="s">
        <v>55</v>
      </c>
      <c r="H87" s="10">
        <f t="shared" si="2"/>
        <v>30000</v>
      </c>
    </row>
    <row r="88" spans="1:8" x14ac:dyDescent="0.25">
      <c r="A88" s="4">
        <v>86</v>
      </c>
      <c r="B88" s="8">
        <v>52273045</v>
      </c>
      <c r="C88" s="4" t="s">
        <v>214</v>
      </c>
      <c r="D88" s="7">
        <v>512461</v>
      </c>
      <c r="E88" s="6">
        <v>46170</v>
      </c>
      <c r="F88" s="5">
        <v>0.47291666666666698</v>
      </c>
      <c r="G88" s="4" t="s">
        <v>55</v>
      </c>
      <c r="H88" s="10">
        <f t="shared" si="2"/>
        <v>30000</v>
      </c>
    </row>
    <row r="89" spans="1:8" x14ac:dyDescent="0.25">
      <c r="A89" s="4">
        <v>87</v>
      </c>
      <c r="B89" s="8">
        <v>25763361</v>
      </c>
      <c r="C89" s="4" t="s">
        <v>213</v>
      </c>
      <c r="D89" s="7">
        <v>834624</v>
      </c>
      <c r="E89" s="6">
        <v>46170</v>
      </c>
      <c r="F89" s="5">
        <v>0.69861111111111096</v>
      </c>
      <c r="G89" s="4" t="s">
        <v>55</v>
      </c>
      <c r="H89" s="10">
        <f t="shared" si="2"/>
        <v>30000</v>
      </c>
    </row>
    <row r="90" spans="1:8" x14ac:dyDescent="0.25">
      <c r="A90" s="4">
        <v>88</v>
      </c>
      <c r="B90" s="8">
        <v>19788452</v>
      </c>
      <c r="C90" s="4" t="s">
        <v>212</v>
      </c>
      <c r="D90" s="7" t="s">
        <v>211</v>
      </c>
      <c r="E90" s="6">
        <v>46170</v>
      </c>
      <c r="F90" s="5">
        <v>0.54305555555555596</v>
      </c>
      <c r="G90" s="4" t="s">
        <v>55</v>
      </c>
      <c r="H90" s="10">
        <f t="shared" si="2"/>
        <v>30000</v>
      </c>
    </row>
    <row r="91" spans="1:8" x14ac:dyDescent="0.25">
      <c r="A91" s="4">
        <v>89</v>
      </c>
      <c r="B91" s="8">
        <v>84041967</v>
      </c>
      <c r="C91" s="4" t="s">
        <v>210</v>
      </c>
      <c r="D91" s="7" t="s">
        <v>209</v>
      </c>
      <c r="E91" s="6">
        <v>46170</v>
      </c>
      <c r="F91" s="5">
        <v>0.39861111111111103</v>
      </c>
      <c r="G91" s="4" t="s">
        <v>55</v>
      </c>
      <c r="H91" s="10">
        <f t="shared" si="2"/>
        <v>30000</v>
      </c>
    </row>
    <row r="92" spans="1:8" x14ac:dyDescent="0.25">
      <c r="A92" s="4">
        <v>90</v>
      </c>
      <c r="B92" s="8">
        <v>43702045</v>
      </c>
      <c r="C92" s="4" t="s">
        <v>90</v>
      </c>
      <c r="D92" s="7" t="s">
        <v>208</v>
      </c>
      <c r="E92" s="6">
        <v>46170</v>
      </c>
      <c r="F92" s="5">
        <v>0.45</v>
      </c>
      <c r="G92" s="4" t="s">
        <v>55</v>
      </c>
      <c r="H92" s="10">
        <f t="shared" si="2"/>
        <v>30000</v>
      </c>
    </row>
    <row r="93" spans="1:8" x14ac:dyDescent="0.25">
      <c r="A93" s="4">
        <v>91</v>
      </c>
      <c r="B93" s="8" t="s">
        <v>207</v>
      </c>
      <c r="C93" s="4" t="s">
        <v>206</v>
      </c>
      <c r="D93" s="7" t="s">
        <v>205</v>
      </c>
      <c r="E93" s="6">
        <v>46171</v>
      </c>
      <c r="F93" s="5">
        <v>0.32291666666666702</v>
      </c>
      <c r="G93" s="4" t="s">
        <v>55</v>
      </c>
      <c r="H93" s="10">
        <f t="shared" si="2"/>
        <v>30000</v>
      </c>
    </row>
    <row r="94" spans="1:8" x14ac:dyDescent="0.25">
      <c r="A94" s="4">
        <v>92</v>
      </c>
      <c r="B94" s="8" t="s">
        <v>204</v>
      </c>
      <c r="C94" s="4" t="s">
        <v>203</v>
      </c>
      <c r="D94" s="7" t="s">
        <v>202</v>
      </c>
      <c r="E94" s="6">
        <v>46171</v>
      </c>
      <c r="F94" s="5">
        <v>0.3125</v>
      </c>
      <c r="G94" s="4" t="s">
        <v>55</v>
      </c>
      <c r="H94" s="10">
        <f t="shared" si="2"/>
        <v>30000</v>
      </c>
    </row>
    <row r="95" spans="1:8" x14ac:dyDescent="0.25">
      <c r="A95" s="4">
        <v>93</v>
      </c>
      <c r="B95" s="8">
        <v>502706039</v>
      </c>
      <c r="C95" s="4" t="s">
        <v>201</v>
      </c>
      <c r="D95" s="7" t="s">
        <v>200</v>
      </c>
      <c r="E95" s="6">
        <v>46170</v>
      </c>
      <c r="F95" s="5">
        <v>0.44305555555555598</v>
      </c>
      <c r="G95" s="4" t="s">
        <v>55</v>
      </c>
      <c r="H95" s="10">
        <f t="shared" si="2"/>
        <v>30000</v>
      </c>
    </row>
    <row r="96" spans="1:8" x14ac:dyDescent="0.25">
      <c r="A96" s="4">
        <v>94</v>
      </c>
      <c r="B96" s="8">
        <v>49725132</v>
      </c>
      <c r="C96" s="4" t="s">
        <v>199</v>
      </c>
      <c r="D96" s="7" t="s">
        <v>198</v>
      </c>
      <c r="E96" s="6">
        <v>46170</v>
      </c>
      <c r="F96" s="5">
        <v>0.453472222222222</v>
      </c>
      <c r="G96" s="4" t="s">
        <v>55</v>
      </c>
      <c r="H96" s="10">
        <f t="shared" si="2"/>
        <v>30000</v>
      </c>
    </row>
    <row r="97" spans="1:8" x14ac:dyDescent="0.25">
      <c r="A97" s="4">
        <v>95</v>
      </c>
      <c r="B97" s="8">
        <v>10265662277</v>
      </c>
      <c r="C97" s="4" t="s">
        <v>197</v>
      </c>
      <c r="D97" s="7" t="s">
        <v>196</v>
      </c>
      <c r="E97" s="6">
        <v>46171</v>
      </c>
      <c r="F97" s="5">
        <v>0.29861111111111099</v>
      </c>
      <c r="G97" s="4" t="s">
        <v>55</v>
      </c>
      <c r="H97" s="10">
        <f t="shared" si="2"/>
        <v>30000</v>
      </c>
    </row>
    <row r="98" spans="1:8" x14ac:dyDescent="0.25">
      <c r="A98" s="4">
        <v>96</v>
      </c>
      <c r="B98" s="8">
        <v>13070373</v>
      </c>
      <c r="C98" s="4" t="s">
        <v>195</v>
      </c>
      <c r="D98" s="7" t="s">
        <v>194</v>
      </c>
      <c r="E98" s="6">
        <v>46171</v>
      </c>
      <c r="F98" s="5">
        <v>0.81944444444444398</v>
      </c>
      <c r="G98" s="4" t="s">
        <v>55</v>
      </c>
      <c r="H98" s="10">
        <f t="shared" si="2"/>
        <v>30000</v>
      </c>
    </row>
    <row r="99" spans="1:8" x14ac:dyDescent="0.25">
      <c r="A99" s="4">
        <v>97</v>
      </c>
      <c r="B99" s="8">
        <v>73091758</v>
      </c>
      <c r="C99" s="4" t="s">
        <v>193</v>
      </c>
      <c r="D99" s="7" t="s">
        <v>192</v>
      </c>
      <c r="E99" s="6">
        <v>46171</v>
      </c>
      <c r="F99" s="5">
        <v>0.64305555555555605</v>
      </c>
      <c r="G99" s="4" t="s">
        <v>55</v>
      </c>
      <c r="H99" s="10">
        <f t="shared" ref="H99:H130" si="3">VLOOKUP(G99,$M$2:$N$2,2)</f>
        <v>30000</v>
      </c>
    </row>
    <row r="100" spans="1:8" x14ac:dyDescent="0.25">
      <c r="A100" s="4">
        <v>98</v>
      </c>
      <c r="B100" s="8">
        <v>1090497871</v>
      </c>
      <c r="C100" s="4" t="s">
        <v>191</v>
      </c>
      <c r="D100" s="7" t="s">
        <v>190</v>
      </c>
      <c r="E100" s="6">
        <v>46167</v>
      </c>
      <c r="F100" s="5">
        <v>0.44930555555555601</v>
      </c>
      <c r="G100" s="4" t="s">
        <v>55</v>
      </c>
      <c r="H100" s="10">
        <f t="shared" si="3"/>
        <v>30000</v>
      </c>
    </row>
    <row r="101" spans="1:8" x14ac:dyDescent="0.25">
      <c r="A101" s="4">
        <v>99</v>
      </c>
      <c r="B101" s="8">
        <v>16276293</v>
      </c>
      <c r="C101" s="4" t="s">
        <v>189</v>
      </c>
      <c r="D101" s="7" t="s">
        <v>188</v>
      </c>
      <c r="E101" s="6">
        <v>46171</v>
      </c>
      <c r="F101" s="5">
        <v>0.55069444444444404</v>
      </c>
      <c r="G101" s="4" t="s">
        <v>55</v>
      </c>
      <c r="H101" s="10">
        <f t="shared" si="3"/>
        <v>30000</v>
      </c>
    </row>
    <row r="102" spans="1:8" x14ac:dyDescent="0.25">
      <c r="A102" s="4">
        <v>100</v>
      </c>
      <c r="B102" s="8" t="s">
        <v>187</v>
      </c>
      <c r="C102" s="4" t="s">
        <v>186</v>
      </c>
      <c r="D102" s="7" t="s">
        <v>185</v>
      </c>
      <c r="E102" s="6">
        <v>46171</v>
      </c>
      <c r="F102" s="5">
        <v>0.70625000000000004</v>
      </c>
      <c r="G102" s="4" t="s">
        <v>55</v>
      </c>
      <c r="H102" s="10">
        <f t="shared" si="3"/>
        <v>30000</v>
      </c>
    </row>
    <row r="103" spans="1:8" x14ac:dyDescent="0.25">
      <c r="A103" s="4">
        <v>101</v>
      </c>
      <c r="B103" s="8">
        <v>1013461776</v>
      </c>
      <c r="C103" s="4" t="s">
        <v>184</v>
      </c>
      <c r="D103" s="7">
        <v>868952</v>
      </c>
      <c r="E103" s="6">
        <v>46173</v>
      </c>
      <c r="F103" s="5">
        <v>0.60763888888888895</v>
      </c>
      <c r="G103" s="4" t="s">
        <v>55</v>
      </c>
      <c r="H103" s="10">
        <f t="shared" si="3"/>
        <v>30000</v>
      </c>
    </row>
    <row r="104" spans="1:8" x14ac:dyDescent="0.25">
      <c r="A104" s="4">
        <v>102</v>
      </c>
      <c r="B104" s="8">
        <v>1044920210</v>
      </c>
      <c r="C104" s="4" t="s">
        <v>183</v>
      </c>
      <c r="D104" s="7" t="s">
        <v>182</v>
      </c>
      <c r="E104" s="6">
        <v>46170</v>
      </c>
      <c r="F104" s="5">
        <v>0.78125</v>
      </c>
      <c r="G104" s="4" t="s">
        <v>55</v>
      </c>
      <c r="H104" s="10">
        <f t="shared" si="3"/>
        <v>30000</v>
      </c>
    </row>
    <row r="105" spans="1:8" x14ac:dyDescent="0.25">
      <c r="A105" s="4">
        <v>103</v>
      </c>
      <c r="B105" s="8">
        <v>1043982586</v>
      </c>
      <c r="C105" s="4" t="s">
        <v>181</v>
      </c>
      <c r="D105" s="7" t="s">
        <v>180</v>
      </c>
      <c r="E105" s="6">
        <v>46171</v>
      </c>
      <c r="F105" s="5">
        <v>0.61180555555555605</v>
      </c>
      <c r="G105" s="4" t="s">
        <v>55</v>
      </c>
      <c r="H105" s="10">
        <f t="shared" si="3"/>
        <v>30000</v>
      </c>
    </row>
    <row r="106" spans="1:8" x14ac:dyDescent="0.25">
      <c r="A106" s="4">
        <v>104</v>
      </c>
      <c r="B106" s="8" t="s">
        <v>179</v>
      </c>
      <c r="C106" s="4" t="s">
        <v>178</v>
      </c>
      <c r="D106" s="7" t="s">
        <v>177</v>
      </c>
      <c r="E106" s="6">
        <v>46171</v>
      </c>
      <c r="F106" s="5">
        <v>0.73680555555555605</v>
      </c>
      <c r="G106" s="4" t="s">
        <v>55</v>
      </c>
      <c r="H106" s="10">
        <f t="shared" si="3"/>
        <v>30000</v>
      </c>
    </row>
    <row r="107" spans="1:8" x14ac:dyDescent="0.25">
      <c r="A107" s="4">
        <v>105</v>
      </c>
      <c r="B107" s="8">
        <v>45423138</v>
      </c>
      <c r="C107" s="4" t="s">
        <v>176</v>
      </c>
      <c r="D107" s="7" t="s">
        <v>175</v>
      </c>
      <c r="E107" s="6">
        <v>46170</v>
      </c>
      <c r="F107" s="5">
        <v>0.69930555555555596</v>
      </c>
      <c r="G107" s="4" t="s">
        <v>55</v>
      </c>
      <c r="H107" s="10">
        <f t="shared" si="3"/>
        <v>30000</v>
      </c>
    </row>
    <row r="108" spans="1:8" x14ac:dyDescent="0.25">
      <c r="A108" s="4">
        <v>106</v>
      </c>
      <c r="B108" s="8">
        <v>1051885880</v>
      </c>
      <c r="C108" s="4" t="s">
        <v>174</v>
      </c>
      <c r="D108" s="7" t="s">
        <v>173</v>
      </c>
      <c r="E108" s="6">
        <v>46170</v>
      </c>
      <c r="F108" s="5">
        <v>0.56944444444444398</v>
      </c>
      <c r="G108" s="4" t="s">
        <v>55</v>
      </c>
      <c r="H108" s="10">
        <f t="shared" si="3"/>
        <v>30000</v>
      </c>
    </row>
    <row r="109" spans="1:8" x14ac:dyDescent="0.25">
      <c r="A109" s="4">
        <v>107</v>
      </c>
      <c r="B109" s="8">
        <v>1049534498</v>
      </c>
      <c r="C109" s="4" t="s">
        <v>172</v>
      </c>
      <c r="D109" s="7" t="s">
        <v>171</v>
      </c>
      <c r="E109" s="6">
        <v>46170</v>
      </c>
      <c r="F109" s="5">
        <v>0.64444444444444404</v>
      </c>
      <c r="G109" s="4" t="s">
        <v>55</v>
      </c>
      <c r="H109" s="10">
        <f t="shared" si="3"/>
        <v>30000</v>
      </c>
    </row>
    <row r="110" spans="1:8" x14ac:dyDescent="0.25">
      <c r="A110" s="4">
        <v>108</v>
      </c>
      <c r="B110" s="8">
        <v>73166290</v>
      </c>
      <c r="C110" s="18" t="s">
        <v>170</v>
      </c>
      <c r="D110" s="7">
        <v>953881</v>
      </c>
      <c r="E110" s="6">
        <v>46170</v>
      </c>
      <c r="F110" s="5">
        <v>0.64166666666666705</v>
      </c>
      <c r="G110" s="4" t="s">
        <v>55</v>
      </c>
      <c r="H110" s="10">
        <f t="shared" si="3"/>
        <v>30000</v>
      </c>
    </row>
    <row r="111" spans="1:8" x14ac:dyDescent="0.25">
      <c r="A111" s="4">
        <v>109</v>
      </c>
      <c r="B111" s="8">
        <v>1005425712</v>
      </c>
      <c r="C111" s="4" t="s">
        <v>169</v>
      </c>
      <c r="D111" s="7" t="s">
        <v>58</v>
      </c>
      <c r="E111" s="6">
        <v>46170</v>
      </c>
      <c r="F111" s="5">
        <v>0.88124999999999998</v>
      </c>
      <c r="G111" s="4" t="s">
        <v>55</v>
      </c>
      <c r="H111" s="10">
        <f t="shared" si="3"/>
        <v>30000</v>
      </c>
    </row>
    <row r="112" spans="1:8" x14ac:dyDescent="0.25">
      <c r="A112" s="4">
        <v>110</v>
      </c>
      <c r="B112" s="8">
        <v>64477936</v>
      </c>
      <c r="C112" s="4" t="s">
        <v>168</v>
      </c>
      <c r="D112" s="7" t="s">
        <v>167</v>
      </c>
      <c r="E112" s="6">
        <v>46170</v>
      </c>
      <c r="F112" s="5">
        <v>0.61388888888888904</v>
      </c>
      <c r="G112" s="4" t="s">
        <v>55</v>
      </c>
      <c r="H112" s="10">
        <f t="shared" si="3"/>
        <v>30000</v>
      </c>
    </row>
    <row r="113" spans="1:8" x14ac:dyDescent="0.25">
      <c r="A113" s="4">
        <v>111</v>
      </c>
      <c r="B113" s="8">
        <v>45755459</v>
      </c>
      <c r="C113" s="4" t="s">
        <v>166</v>
      </c>
      <c r="D113" s="7" t="s">
        <v>165</v>
      </c>
      <c r="E113" s="6">
        <v>46170</v>
      </c>
      <c r="F113" s="5">
        <v>0.94930555555555596</v>
      </c>
      <c r="G113" s="4" t="s">
        <v>55</v>
      </c>
      <c r="H113" s="10">
        <f t="shared" si="3"/>
        <v>30000</v>
      </c>
    </row>
    <row r="114" spans="1:8" x14ac:dyDescent="0.25">
      <c r="A114" s="4">
        <v>112</v>
      </c>
      <c r="B114" s="8">
        <v>30572408</v>
      </c>
      <c r="C114" s="4" t="s">
        <v>164</v>
      </c>
      <c r="D114" s="7" t="s">
        <v>163</v>
      </c>
      <c r="E114" s="6">
        <v>46166</v>
      </c>
      <c r="F114" s="5">
        <v>0.84097222222222201</v>
      </c>
      <c r="G114" s="4" t="s">
        <v>55</v>
      </c>
      <c r="H114" s="10">
        <f t="shared" si="3"/>
        <v>30000</v>
      </c>
    </row>
    <row r="115" spans="1:8" x14ac:dyDescent="0.25">
      <c r="A115" s="4">
        <v>113</v>
      </c>
      <c r="B115" s="8">
        <v>1128224460</v>
      </c>
      <c r="C115" s="4" t="s">
        <v>162</v>
      </c>
      <c r="D115" s="7">
        <v>862934</v>
      </c>
      <c r="E115" s="6">
        <v>46173</v>
      </c>
      <c r="F115" s="5">
        <v>0.60624999999999996</v>
      </c>
      <c r="G115" s="4" t="s">
        <v>55</v>
      </c>
      <c r="H115" s="10">
        <f t="shared" si="3"/>
        <v>30000</v>
      </c>
    </row>
    <row r="116" spans="1:8" x14ac:dyDescent="0.25">
      <c r="A116" s="4">
        <v>114</v>
      </c>
      <c r="B116" s="8">
        <v>5116322</v>
      </c>
      <c r="C116" s="4" t="s">
        <v>161</v>
      </c>
      <c r="D116" s="7">
        <v>918642</v>
      </c>
      <c r="E116" s="6">
        <v>46170</v>
      </c>
      <c r="F116" s="5">
        <v>0.45</v>
      </c>
      <c r="G116" s="4" t="s">
        <v>55</v>
      </c>
      <c r="H116" s="10">
        <f t="shared" si="3"/>
        <v>30000</v>
      </c>
    </row>
    <row r="117" spans="1:8" x14ac:dyDescent="0.25">
      <c r="A117" s="4">
        <v>115</v>
      </c>
      <c r="B117" s="8">
        <v>49554166</v>
      </c>
      <c r="C117" s="4" t="s">
        <v>160</v>
      </c>
      <c r="D117" s="7">
        <v>641668</v>
      </c>
      <c r="E117" s="6">
        <v>46170</v>
      </c>
      <c r="F117" s="5">
        <v>0.45072916666666701</v>
      </c>
      <c r="G117" s="4" t="s">
        <v>55</v>
      </c>
      <c r="H117" s="10">
        <f t="shared" si="3"/>
        <v>30000</v>
      </c>
    </row>
    <row r="118" spans="1:8" x14ac:dyDescent="0.25">
      <c r="A118" s="4">
        <v>116</v>
      </c>
      <c r="B118" s="8">
        <v>1064707551</v>
      </c>
      <c r="C118" s="4" t="s">
        <v>159</v>
      </c>
      <c r="D118" s="7">
        <v>207148</v>
      </c>
      <c r="E118" s="6">
        <v>46170</v>
      </c>
      <c r="F118" s="5">
        <v>0.45121527777777798</v>
      </c>
      <c r="G118" s="4" t="s">
        <v>55</v>
      </c>
      <c r="H118" s="10">
        <f t="shared" si="3"/>
        <v>30000</v>
      </c>
    </row>
    <row r="119" spans="1:8" x14ac:dyDescent="0.25">
      <c r="A119" s="4">
        <v>117</v>
      </c>
      <c r="B119" s="8">
        <v>37726589</v>
      </c>
      <c r="C119" s="4" t="s">
        <v>158</v>
      </c>
      <c r="D119" s="7" t="s">
        <v>157</v>
      </c>
      <c r="E119" s="6">
        <v>46168</v>
      </c>
      <c r="F119" s="5">
        <v>0.69236111111111098</v>
      </c>
      <c r="G119" s="4" t="s">
        <v>55</v>
      </c>
      <c r="H119" s="10">
        <f t="shared" si="3"/>
        <v>30000</v>
      </c>
    </row>
    <row r="120" spans="1:8" x14ac:dyDescent="0.25">
      <c r="A120" s="4">
        <v>118</v>
      </c>
      <c r="B120" s="8">
        <v>91481063</v>
      </c>
      <c r="C120" s="4" t="s">
        <v>156</v>
      </c>
      <c r="D120" s="7" t="s">
        <v>155</v>
      </c>
      <c r="E120" s="6">
        <v>46168</v>
      </c>
      <c r="F120" s="5">
        <v>0.69166666666666698</v>
      </c>
      <c r="G120" s="4" t="s">
        <v>55</v>
      </c>
      <c r="H120" s="10">
        <f t="shared" si="3"/>
        <v>30000</v>
      </c>
    </row>
    <row r="121" spans="1:8" x14ac:dyDescent="0.25">
      <c r="A121" s="4">
        <v>119</v>
      </c>
      <c r="B121" s="8" t="s">
        <v>154</v>
      </c>
      <c r="C121" s="4" t="s">
        <v>153</v>
      </c>
      <c r="D121" s="7" t="s">
        <v>152</v>
      </c>
      <c r="E121" s="6">
        <v>46170</v>
      </c>
      <c r="F121" s="5">
        <v>0.44930555555555601</v>
      </c>
      <c r="G121" s="4" t="s">
        <v>55</v>
      </c>
      <c r="H121" s="10">
        <f t="shared" si="3"/>
        <v>30000</v>
      </c>
    </row>
    <row r="122" spans="1:8" x14ac:dyDescent="0.25">
      <c r="A122" s="4">
        <v>120</v>
      </c>
      <c r="B122" s="8">
        <v>73569158</v>
      </c>
      <c r="C122" s="4" t="s">
        <v>151</v>
      </c>
      <c r="D122" s="7" t="s">
        <v>150</v>
      </c>
      <c r="E122" s="6">
        <v>46170</v>
      </c>
      <c r="F122" s="5">
        <v>0.63263888888888897</v>
      </c>
      <c r="G122" s="4" t="s">
        <v>55</v>
      </c>
      <c r="H122" s="10">
        <f t="shared" si="3"/>
        <v>30000</v>
      </c>
    </row>
    <row r="123" spans="1:8" x14ac:dyDescent="0.25">
      <c r="A123" s="4">
        <v>121</v>
      </c>
      <c r="B123" s="8">
        <v>25784664</v>
      </c>
      <c r="C123" s="4" t="s">
        <v>149</v>
      </c>
      <c r="D123" s="7" t="s">
        <v>148</v>
      </c>
      <c r="E123" s="6">
        <v>46170</v>
      </c>
      <c r="F123" s="5">
        <v>0.63402777777777797</v>
      </c>
      <c r="G123" s="4" t="s">
        <v>55</v>
      </c>
      <c r="H123" s="10">
        <f t="shared" si="3"/>
        <v>30000</v>
      </c>
    </row>
    <row r="124" spans="1:8" x14ac:dyDescent="0.25">
      <c r="A124" s="4">
        <v>122</v>
      </c>
      <c r="B124" s="8">
        <v>30774462</v>
      </c>
      <c r="C124" s="4" t="s">
        <v>147</v>
      </c>
      <c r="D124" s="7" t="s">
        <v>146</v>
      </c>
      <c r="E124" s="6">
        <v>46170</v>
      </c>
      <c r="F124" s="5">
        <v>0.87847222222222199</v>
      </c>
      <c r="G124" s="4" t="s">
        <v>55</v>
      </c>
      <c r="H124" s="10">
        <f t="shared" si="3"/>
        <v>30000</v>
      </c>
    </row>
    <row r="125" spans="1:8" x14ac:dyDescent="0.25">
      <c r="A125" s="4">
        <v>123</v>
      </c>
      <c r="B125" s="8">
        <v>79419105</v>
      </c>
      <c r="C125" s="4" t="s">
        <v>145</v>
      </c>
      <c r="D125" s="7" t="s">
        <v>144</v>
      </c>
      <c r="E125" s="6">
        <v>46170</v>
      </c>
      <c r="F125" s="5">
        <v>0.50972222222222197</v>
      </c>
      <c r="G125" s="4" t="s">
        <v>55</v>
      </c>
      <c r="H125" s="10">
        <f t="shared" si="3"/>
        <v>30000</v>
      </c>
    </row>
    <row r="126" spans="1:8" x14ac:dyDescent="0.25">
      <c r="A126" s="4">
        <v>124</v>
      </c>
      <c r="B126" s="8">
        <v>1000954115</v>
      </c>
      <c r="C126" s="4" t="s">
        <v>143</v>
      </c>
      <c r="D126" s="7" t="s">
        <v>142</v>
      </c>
      <c r="E126" s="6">
        <v>46170</v>
      </c>
      <c r="F126" s="5">
        <v>0.46597222222222201</v>
      </c>
      <c r="G126" s="4" t="s">
        <v>55</v>
      </c>
      <c r="H126" s="10">
        <f t="shared" si="3"/>
        <v>30000</v>
      </c>
    </row>
    <row r="127" spans="1:8" x14ac:dyDescent="0.25">
      <c r="A127" s="4">
        <v>125</v>
      </c>
      <c r="B127" s="8">
        <v>52034548</v>
      </c>
      <c r="C127" s="4" t="s">
        <v>141</v>
      </c>
      <c r="D127" s="7" t="s">
        <v>140</v>
      </c>
      <c r="E127" s="6">
        <v>46170</v>
      </c>
      <c r="F127" s="5">
        <v>0.46458333333333302</v>
      </c>
      <c r="G127" s="4" t="s">
        <v>55</v>
      </c>
      <c r="H127" s="10">
        <f t="shared" si="3"/>
        <v>30000</v>
      </c>
    </row>
    <row r="128" spans="1:8" x14ac:dyDescent="0.25">
      <c r="A128" s="4">
        <v>126</v>
      </c>
      <c r="B128" s="8">
        <v>39574946</v>
      </c>
      <c r="C128" s="4" t="s">
        <v>139</v>
      </c>
      <c r="D128" s="7" t="s">
        <v>138</v>
      </c>
      <c r="E128" s="6">
        <v>46167</v>
      </c>
      <c r="F128" s="5">
        <v>0.88402777777777797</v>
      </c>
      <c r="G128" s="4" t="s">
        <v>55</v>
      </c>
      <c r="H128" s="10">
        <f t="shared" si="3"/>
        <v>30000</v>
      </c>
    </row>
    <row r="129" spans="1:8" x14ac:dyDescent="0.25">
      <c r="A129" s="4">
        <v>127</v>
      </c>
      <c r="B129" s="9">
        <v>1213196300066</v>
      </c>
      <c r="C129" s="4" t="s">
        <v>137</v>
      </c>
      <c r="D129" s="7" t="s">
        <v>136</v>
      </c>
      <c r="E129" s="6">
        <v>46171</v>
      </c>
      <c r="F129" s="5">
        <v>0.63194444444444398</v>
      </c>
      <c r="G129" s="4" t="s">
        <v>55</v>
      </c>
      <c r="H129" s="10">
        <f t="shared" si="3"/>
        <v>30000</v>
      </c>
    </row>
    <row r="130" spans="1:8" x14ac:dyDescent="0.25">
      <c r="A130" s="4">
        <v>128</v>
      </c>
      <c r="B130" s="8">
        <v>13447730</v>
      </c>
      <c r="C130" s="4" t="s">
        <v>135</v>
      </c>
      <c r="D130" s="7" t="s">
        <v>134</v>
      </c>
      <c r="E130" s="6">
        <v>46170</v>
      </c>
      <c r="F130" s="5">
        <v>0.63749999999999996</v>
      </c>
      <c r="G130" s="4" t="s">
        <v>55</v>
      </c>
      <c r="H130" s="10">
        <f t="shared" si="3"/>
        <v>30000</v>
      </c>
    </row>
    <row r="131" spans="1:8" x14ac:dyDescent="0.25">
      <c r="A131" s="4">
        <v>129</v>
      </c>
      <c r="B131" s="8">
        <v>642311615</v>
      </c>
      <c r="C131" s="4" t="s">
        <v>133</v>
      </c>
      <c r="D131" s="7">
        <v>5540</v>
      </c>
      <c r="E131" s="6">
        <v>46171</v>
      </c>
      <c r="F131" s="5">
        <v>0.5</v>
      </c>
      <c r="G131" s="4" t="s">
        <v>55</v>
      </c>
      <c r="H131" s="10">
        <f t="shared" ref="H131:H162" si="4">VLOOKUP(G131,$M$2:$N$2,2)</f>
        <v>30000</v>
      </c>
    </row>
    <row r="132" spans="1:8" x14ac:dyDescent="0.25">
      <c r="A132" s="4">
        <v>130</v>
      </c>
      <c r="B132" s="8">
        <v>88223147</v>
      </c>
      <c r="C132" s="4" t="s">
        <v>132</v>
      </c>
      <c r="D132" s="7" t="s">
        <v>131</v>
      </c>
      <c r="E132" s="6">
        <v>46170</v>
      </c>
      <c r="F132" s="5">
        <v>0.63402777777777797</v>
      </c>
      <c r="G132" s="4" t="s">
        <v>55</v>
      </c>
      <c r="H132" s="10">
        <f t="shared" si="4"/>
        <v>30000</v>
      </c>
    </row>
    <row r="133" spans="1:8" x14ac:dyDescent="0.25">
      <c r="A133" s="4">
        <v>131</v>
      </c>
      <c r="B133" s="8">
        <v>79465062</v>
      </c>
      <c r="C133" s="4" t="s">
        <v>130</v>
      </c>
      <c r="D133" s="7" t="s">
        <v>129</v>
      </c>
      <c r="E133" s="6">
        <v>46170</v>
      </c>
      <c r="F133" s="5">
        <v>0.63888888888888895</v>
      </c>
      <c r="G133" s="4" t="s">
        <v>55</v>
      </c>
      <c r="H133" s="10">
        <f t="shared" si="4"/>
        <v>30000</v>
      </c>
    </row>
    <row r="134" spans="1:8" x14ac:dyDescent="0.25">
      <c r="A134" s="4">
        <v>132</v>
      </c>
      <c r="B134" s="8">
        <v>60356804</v>
      </c>
      <c r="C134" s="4" t="s">
        <v>128</v>
      </c>
      <c r="D134" s="7" t="s">
        <v>127</v>
      </c>
      <c r="E134" s="6">
        <v>46170</v>
      </c>
      <c r="F134" s="5">
        <v>0.63541666666666696</v>
      </c>
      <c r="G134" s="4" t="s">
        <v>55</v>
      </c>
      <c r="H134" s="10">
        <f t="shared" si="4"/>
        <v>30000</v>
      </c>
    </row>
    <row r="135" spans="1:8" x14ac:dyDescent="0.25">
      <c r="A135" s="4">
        <v>133</v>
      </c>
      <c r="B135" s="8">
        <v>10528874</v>
      </c>
      <c r="C135" s="4" t="s">
        <v>126</v>
      </c>
      <c r="D135" s="7" t="s">
        <v>125</v>
      </c>
      <c r="E135" s="6">
        <v>46170</v>
      </c>
      <c r="F135" s="5">
        <v>0.454166666666667</v>
      </c>
      <c r="G135" s="4" t="s">
        <v>55</v>
      </c>
      <c r="H135" s="10">
        <f t="shared" si="4"/>
        <v>30000</v>
      </c>
    </row>
    <row r="136" spans="1:8" x14ac:dyDescent="0.25">
      <c r="A136" s="4">
        <v>134</v>
      </c>
      <c r="B136" s="8">
        <v>73127725</v>
      </c>
      <c r="C136" s="4" t="s">
        <v>124</v>
      </c>
      <c r="D136" s="7" t="s">
        <v>123</v>
      </c>
      <c r="E136" s="6">
        <v>46170</v>
      </c>
      <c r="F136" s="5">
        <v>0.87013888888888902</v>
      </c>
      <c r="G136" s="4" t="s">
        <v>55</v>
      </c>
      <c r="H136" s="10">
        <f t="shared" si="4"/>
        <v>30000</v>
      </c>
    </row>
    <row r="137" spans="1:8" x14ac:dyDescent="0.25">
      <c r="A137" s="4">
        <v>135</v>
      </c>
      <c r="B137" s="8">
        <v>88274670</v>
      </c>
      <c r="C137" s="4" t="s">
        <v>122</v>
      </c>
      <c r="D137" s="7" t="s">
        <v>121</v>
      </c>
      <c r="E137" s="6">
        <v>46170</v>
      </c>
      <c r="F137" s="5">
        <v>0.41597222222222202</v>
      </c>
      <c r="G137" s="4" t="s">
        <v>55</v>
      </c>
      <c r="H137" s="10">
        <f t="shared" si="4"/>
        <v>30000</v>
      </c>
    </row>
    <row r="138" spans="1:8" x14ac:dyDescent="0.25">
      <c r="A138" s="4">
        <v>136</v>
      </c>
      <c r="B138" s="8">
        <v>6240078</v>
      </c>
      <c r="C138" s="4" t="s">
        <v>120</v>
      </c>
      <c r="D138" s="7" t="s">
        <v>119</v>
      </c>
      <c r="E138" s="6">
        <v>46170</v>
      </c>
      <c r="F138" s="5">
        <v>0.64583333333333304</v>
      </c>
      <c r="G138" s="4" t="s">
        <v>55</v>
      </c>
      <c r="H138" s="10">
        <f t="shared" si="4"/>
        <v>30000</v>
      </c>
    </row>
    <row r="139" spans="1:8" x14ac:dyDescent="0.25">
      <c r="A139" s="4">
        <v>137</v>
      </c>
      <c r="B139" s="8" t="s">
        <v>118</v>
      </c>
      <c r="C139" s="4" t="s">
        <v>117</v>
      </c>
      <c r="D139" s="7" t="s">
        <v>116</v>
      </c>
      <c r="E139" s="6">
        <v>46171</v>
      </c>
      <c r="F139" s="5">
        <v>0.70208333333333295</v>
      </c>
      <c r="G139" s="4" t="s">
        <v>55</v>
      </c>
      <c r="H139" s="10">
        <f t="shared" si="4"/>
        <v>30000</v>
      </c>
    </row>
    <row r="140" spans="1:8" x14ac:dyDescent="0.25">
      <c r="A140" s="4">
        <v>138</v>
      </c>
      <c r="B140" s="8">
        <v>72006365</v>
      </c>
      <c r="C140" s="4" t="s">
        <v>115</v>
      </c>
      <c r="D140" s="7" t="s">
        <v>114</v>
      </c>
      <c r="E140" s="6">
        <v>46171</v>
      </c>
      <c r="F140" s="5">
        <v>0.79513888888888895</v>
      </c>
      <c r="G140" s="4" t="s">
        <v>55</v>
      </c>
      <c r="H140" s="10">
        <f t="shared" si="4"/>
        <v>30000</v>
      </c>
    </row>
    <row r="141" spans="1:8" x14ac:dyDescent="0.25">
      <c r="A141" s="4">
        <v>139</v>
      </c>
      <c r="B141" s="8">
        <v>79151496</v>
      </c>
      <c r="C141" s="4" t="s">
        <v>113</v>
      </c>
      <c r="D141" s="7" t="s">
        <v>112</v>
      </c>
      <c r="E141" s="6">
        <v>46170</v>
      </c>
      <c r="F141" s="5">
        <v>0.65972222222222199</v>
      </c>
      <c r="G141" s="4" t="s">
        <v>55</v>
      </c>
      <c r="H141" s="10">
        <f t="shared" si="4"/>
        <v>30000</v>
      </c>
    </row>
    <row r="142" spans="1:8" x14ac:dyDescent="0.25">
      <c r="A142" s="4">
        <v>140</v>
      </c>
      <c r="B142" s="8">
        <v>32491050</v>
      </c>
      <c r="C142" s="4" t="s">
        <v>111</v>
      </c>
      <c r="D142" s="7">
        <v>371272</v>
      </c>
      <c r="E142" s="6">
        <v>46170</v>
      </c>
      <c r="F142" s="5">
        <v>0.44791666666666702</v>
      </c>
      <c r="G142" s="4" t="s">
        <v>55</v>
      </c>
      <c r="H142" s="10">
        <f t="shared" si="4"/>
        <v>30000</v>
      </c>
    </row>
    <row r="143" spans="1:8" x14ac:dyDescent="0.25">
      <c r="A143" s="4">
        <v>141</v>
      </c>
      <c r="B143" s="8">
        <v>1050004870</v>
      </c>
      <c r="C143" s="4" t="s">
        <v>110</v>
      </c>
      <c r="D143" s="7" t="s">
        <v>109</v>
      </c>
      <c r="E143" s="6">
        <v>46170</v>
      </c>
      <c r="F143" s="5">
        <v>0.32291666666666702</v>
      </c>
      <c r="G143" s="4" t="s">
        <v>55</v>
      </c>
      <c r="H143" s="10">
        <f t="shared" si="4"/>
        <v>30000</v>
      </c>
    </row>
    <row r="144" spans="1:8" x14ac:dyDescent="0.25">
      <c r="A144" s="4">
        <v>142</v>
      </c>
      <c r="B144" s="8">
        <v>1096196893</v>
      </c>
      <c r="C144" s="4" t="s">
        <v>108</v>
      </c>
      <c r="D144" s="7">
        <v>2052252</v>
      </c>
      <c r="E144" s="6">
        <v>46171</v>
      </c>
      <c r="F144" s="5">
        <v>0.91874999999999996</v>
      </c>
      <c r="G144" s="4" t="s">
        <v>55</v>
      </c>
      <c r="H144" s="10">
        <f t="shared" si="4"/>
        <v>30000</v>
      </c>
    </row>
    <row r="145" spans="1:8" x14ac:dyDescent="0.25">
      <c r="A145" s="4">
        <v>143</v>
      </c>
      <c r="B145" s="8">
        <v>43701418</v>
      </c>
      <c r="C145" s="4" t="s">
        <v>107</v>
      </c>
      <c r="D145" s="7" t="s">
        <v>106</v>
      </c>
      <c r="E145" s="6">
        <v>46170</v>
      </c>
      <c r="F145" s="5">
        <v>0.71875</v>
      </c>
      <c r="G145" s="4" t="s">
        <v>55</v>
      </c>
      <c r="H145" s="10">
        <f t="shared" si="4"/>
        <v>30000</v>
      </c>
    </row>
    <row r="146" spans="1:8" x14ac:dyDescent="0.25">
      <c r="A146" s="4">
        <v>144</v>
      </c>
      <c r="B146" s="8">
        <v>73142815</v>
      </c>
      <c r="C146" s="4" t="s">
        <v>105</v>
      </c>
      <c r="D146" s="7" t="s">
        <v>104</v>
      </c>
      <c r="E146" s="6">
        <v>46175</v>
      </c>
      <c r="F146" s="5">
        <v>0.64513888888888904</v>
      </c>
      <c r="G146" s="4" t="s">
        <v>55</v>
      </c>
      <c r="H146" s="10">
        <f t="shared" si="4"/>
        <v>30000</v>
      </c>
    </row>
    <row r="147" spans="1:8" x14ac:dyDescent="0.25">
      <c r="A147" s="4">
        <v>145</v>
      </c>
      <c r="B147" s="8">
        <v>37225907</v>
      </c>
      <c r="C147" s="4" t="s">
        <v>103</v>
      </c>
      <c r="D147" s="7" t="s">
        <v>102</v>
      </c>
      <c r="E147" s="6">
        <v>46171</v>
      </c>
      <c r="F147" s="5">
        <v>3.4722222222222203E-2</v>
      </c>
      <c r="G147" s="4" t="s">
        <v>55</v>
      </c>
      <c r="H147" s="10">
        <f t="shared" si="4"/>
        <v>30000</v>
      </c>
    </row>
    <row r="148" spans="1:8" x14ac:dyDescent="0.25">
      <c r="A148" s="4">
        <v>146</v>
      </c>
      <c r="B148" s="8">
        <v>9084847</v>
      </c>
      <c r="C148" s="4" t="s">
        <v>101</v>
      </c>
      <c r="D148" s="7" t="s">
        <v>100</v>
      </c>
      <c r="E148" s="6">
        <v>46170</v>
      </c>
      <c r="F148" s="5">
        <v>0.81874999999999998</v>
      </c>
      <c r="G148" s="4" t="s">
        <v>55</v>
      </c>
      <c r="H148" s="10">
        <f t="shared" si="4"/>
        <v>30000</v>
      </c>
    </row>
    <row r="149" spans="1:8" x14ac:dyDescent="0.25">
      <c r="A149" s="4">
        <v>147</v>
      </c>
      <c r="B149" s="8">
        <v>73088140</v>
      </c>
      <c r="C149" s="4" t="s">
        <v>99</v>
      </c>
      <c r="D149" s="7" t="s">
        <v>98</v>
      </c>
      <c r="E149" s="6">
        <v>46170</v>
      </c>
      <c r="F149" s="5">
        <v>0.906944444444444</v>
      </c>
      <c r="G149" s="4" t="s">
        <v>55</v>
      </c>
      <c r="H149" s="10">
        <f t="shared" si="4"/>
        <v>30000</v>
      </c>
    </row>
    <row r="150" spans="1:8" x14ac:dyDescent="0.25">
      <c r="A150" s="4">
        <v>148</v>
      </c>
      <c r="B150" s="8">
        <v>42897011</v>
      </c>
      <c r="C150" s="4" t="s">
        <v>97</v>
      </c>
      <c r="D150" s="7" t="s">
        <v>96</v>
      </c>
      <c r="E150" s="6">
        <v>46170</v>
      </c>
      <c r="F150" s="5">
        <v>0.45902777777777798</v>
      </c>
      <c r="G150" s="4" t="s">
        <v>55</v>
      </c>
      <c r="H150" s="10">
        <f t="shared" si="4"/>
        <v>30000</v>
      </c>
    </row>
    <row r="151" spans="1:8" x14ac:dyDescent="0.25">
      <c r="A151" s="4">
        <v>149</v>
      </c>
      <c r="B151" s="8" t="s">
        <v>95</v>
      </c>
      <c r="C151" s="4" t="s">
        <v>94</v>
      </c>
      <c r="D151" s="7" t="s">
        <v>93</v>
      </c>
      <c r="E151" s="6">
        <v>46171</v>
      </c>
      <c r="F151" s="5">
        <v>7.7777777777777807E-2</v>
      </c>
      <c r="G151" s="4" t="s">
        <v>55</v>
      </c>
      <c r="H151" s="10">
        <f t="shared" si="4"/>
        <v>30000</v>
      </c>
    </row>
    <row r="152" spans="1:8" x14ac:dyDescent="0.25">
      <c r="A152" s="4">
        <v>150</v>
      </c>
      <c r="B152" s="8">
        <v>52797216</v>
      </c>
      <c r="C152" s="4" t="s">
        <v>92</v>
      </c>
      <c r="D152" s="7" t="s">
        <v>91</v>
      </c>
      <c r="E152" s="6">
        <v>46170</v>
      </c>
      <c r="F152" s="5">
        <v>0.42777777777777798</v>
      </c>
      <c r="G152" s="4" t="s">
        <v>55</v>
      </c>
      <c r="H152" s="10">
        <f t="shared" si="4"/>
        <v>30000</v>
      </c>
    </row>
    <row r="153" spans="1:8" x14ac:dyDescent="0.25">
      <c r="A153" s="4">
        <v>151</v>
      </c>
      <c r="B153" s="8">
        <v>43702045</v>
      </c>
      <c r="C153" s="4" t="s">
        <v>90</v>
      </c>
      <c r="D153" s="7" t="s">
        <v>89</v>
      </c>
      <c r="E153" s="6">
        <v>46170</v>
      </c>
      <c r="F153" s="5">
        <v>0.45</v>
      </c>
      <c r="G153" s="4" t="s">
        <v>55</v>
      </c>
      <c r="H153" s="10">
        <f t="shared" si="4"/>
        <v>30000</v>
      </c>
    </row>
    <row r="154" spans="1:8" x14ac:dyDescent="0.25">
      <c r="A154" s="4">
        <v>152</v>
      </c>
      <c r="B154" s="8">
        <v>45453418</v>
      </c>
      <c r="C154" s="4" t="s">
        <v>88</v>
      </c>
      <c r="D154" s="7" t="s">
        <v>87</v>
      </c>
      <c r="E154" s="6">
        <v>46170</v>
      </c>
      <c r="F154" s="5">
        <v>0.81388888888888899</v>
      </c>
      <c r="G154" s="4" t="s">
        <v>55</v>
      </c>
      <c r="H154" s="10">
        <f t="shared" si="4"/>
        <v>30000</v>
      </c>
    </row>
    <row r="155" spans="1:8" x14ac:dyDescent="0.25">
      <c r="A155" s="4">
        <v>153</v>
      </c>
      <c r="B155" s="8">
        <v>1047375251</v>
      </c>
      <c r="C155" s="4" t="s">
        <v>86</v>
      </c>
      <c r="D155" s="7" t="s">
        <v>85</v>
      </c>
      <c r="E155" s="6">
        <v>46170</v>
      </c>
      <c r="F155" s="5">
        <v>0.88263888888888897</v>
      </c>
      <c r="G155" s="4" t="s">
        <v>55</v>
      </c>
      <c r="H155" s="10">
        <f t="shared" si="4"/>
        <v>30000</v>
      </c>
    </row>
    <row r="156" spans="1:8" x14ac:dyDescent="0.25">
      <c r="A156" s="4">
        <v>154</v>
      </c>
      <c r="B156" s="8">
        <v>37510797</v>
      </c>
      <c r="C156" s="4" t="s">
        <v>84</v>
      </c>
      <c r="D156" s="7" t="s">
        <v>83</v>
      </c>
      <c r="E156" s="6">
        <v>46170</v>
      </c>
      <c r="F156" s="5">
        <v>0.66597222222222197</v>
      </c>
      <c r="G156" s="4" t="s">
        <v>55</v>
      </c>
      <c r="H156" s="10">
        <f t="shared" si="4"/>
        <v>30000</v>
      </c>
    </row>
    <row r="157" spans="1:8" x14ac:dyDescent="0.25">
      <c r="A157" s="4">
        <v>155</v>
      </c>
      <c r="B157" s="8" t="s">
        <v>82</v>
      </c>
      <c r="C157" s="4" t="s">
        <v>81</v>
      </c>
      <c r="D157" s="7" t="s">
        <v>80</v>
      </c>
      <c r="E157" s="6">
        <v>46171</v>
      </c>
      <c r="F157" s="5">
        <v>0.53263888888888899</v>
      </c>
      <c r="G157" s="4" t="s">
        <v>55</v>
      </c>
      <c r="H157" s="10">
        <f t="shared" si="4"/>
        <v>30000</v>
      </c>
    </row>
    <row r="158" spans="1:8" x14ac:dyDescent="0.25">
      <c r="A158" s="4">
        <v>156</v>
      </c>
      <c r="B158" s="8" t="s">
        <v>79</v>
      </c>
      <c r="C158" s="4" t="s">
        <v>78</v>
      </c>
      <c r="D158" s="7" t="s">
        <v>77</v>
      </c>
      <c r="E158" s="6">
        <v>46171</v>
      </c>
      <c r="F158" s="5">
        <v>0.53472222222222199</v>
      </c>
      <c r="G158" s="4" t="s">
        <v>55</v>
      </c>
      <c r="H158" s="10">
        <f t="shared" si="4"/>
        <v>30000</v>
      </c>
    </row>
    <row r="159" spans="1:8" x14ac:dyDescent="0.25">
      <c r="A159" s="4">
        <v>157</v>
      </c>
      <c r="B159" s="8" t="s">
        <v>76</v>
      </c>
      <c r="C159" s="4" t="s">
        <v>75</v>
      </c>
      <c r="D159" s="7" t="s">
        <v>74</v>
      </c>
      <c r="E159" s="6">
        <v>46171</v>
      </c>
      <c r="F159" s="5">
        <v>0.53333333333333299</v>
      </c>
      <c r="G159" s="4" t="s">
        <v>55</v>
      </c>
      <c r="H159" s="10">
        <f t="shared" si="4"/>
        <v>30000</v>
      </c>
    </row>
    <row r="160" spans="1:8" x14ac:dyDescent="0.25">
      <c r="A160" s="4">
        <v>158</v>
      </c>
      <c r="B160" s="8">
        <v>49734163</v>
      </c>
      <c r="C160" s="4" t="s">
        <v>73</v>
      </c>
      <c r="D160" s="16" t="s">
        <v>72</v>
      </c>
      <c r="E160" s="6">
        <v>46170</v>
      </c>
      <c r="F160" s="5">
        <v>0.71388888888888902</v>
      </c>
      <c r="G160" s="4" t="s">
        <v>55</v>
      </c>
      <c r="H160" s="10">
        <f t="shared" si="4"/>
        <v>30000</v>
      </c>
    </row>
    <row r="161" spans="1:8" x14ac:dyDescent="0.25">
      <c r="A161" s="4">
        <v>159</v>
      </c>
      <c r="B161" s="8">
        <v>30571348</v>
      </c>
      <c r="C161" s="4" t="s">
        <v>71</v>
      </c>
      <c r="D161" s="16" t="s">
        <v>70</v>
      </c>
      <c r="E161" s="6">
        <v>46170</v>
      </c>
      <c r="F161" s="5">
        <v>0.74027777777777803</v>
      </c>
      <c r="G161" s="4" t="s">
        <v>55</v>
      </c>
      <c r="H161" s="10">
        <f t="shared" si="4"/>
        <v>30000</v>
      </c>
    </row>
    <row r="162" spans="1:8" x14ac:dyDescent="0.25">
      <c r="A162" s="4">
        <v>160</v>
      </c>
      <c r="B162" s="8" t="s">
        <v>68</v>
      </c>
      <c r="C162" s="4" t="s">
        <v>67</v>
      </c>
      <c r="D162" s="16" t="s">
        <v>69</v>
      </c>
      <c r="E162" s="6">
        <v>46170</v>
      </c>
      <c r="F162" s="5">
        <v>0.51111111111111096</v>
      </c>
      <c r="G162" s="4" t="s">
        <v>55</v>
      </c>
      <c r="H162" s="10">
        <f t="shared" si="4"/>
        <v>30000</v>
      </c>
    </row>
    <row r="163" spans="1:8" x14ac:dyDescent="0.25">
      <c r="A163" s="4">
        <v>161</v>
      </c>
      <c r="B163" s="8" t="s">
        <v>68</v>
      </c>
      <c r="C163" s="17" t="s">
        <v>67</v>
      </c>
      <c r="D163" s="16" t="s">
        <v>66</v>
      </c>
      <c r="E163" s="6">
        <v>46170</v>
      </c>
      <c r="F163" s="5">
        <v>0.468055555555556</v>
      </c>
      <c r="G163" s="4" t="s">
        <v>55</v>
      </c>
      <c r="H163" s="10">
        <f t="shared" ref="H163:H194" si="5">VLOOKUP(G163,$M$2:$N$2,2)</f>
        <v>30000</v>
      </c>
    </row>
    <row r="164" spans="1:8" x14ac:dyDescent="0.25">
      <c r="A164" s="4">
        <v>162</v>
      </c>
      <c r="B164" s="8" t="s">
        <v>65</v>
      </c>
      <c r="C164" s="17" t="s">
        <v>64</v>
      </c>
      <c r="D164" s="7">
        <v>2700</v>
      </c>
      <c r="E164" s="6">
        <v>46178</v>
      </c>
      <c r="F164" s="5">
        <v>0.483333333333333</v>
      </c>
      <c r="G164" s="4" t="s">
        <v>55</v>
      </c>
      <c r="H164" s="3">
        <v>120000</v>
      </c>
    </row>
    <row r="165" spans="1:8" x14ac:dyDescent="0.25">
      <c r="A165" s="4">
        <v>163</v>
      </c>
      <c r="B165" s="8">
        <v>69052707812</v>
      </c>
      <c r="C165" s="17" t="s">
        <v>63</v>
      </c>
      <c r="D165" s="16" t="s">
        <v>62</v>
      </c>
      <c r="E165" s="6">
        <v>46178</v>
      </c>
      <c r="F165" s="5">
        <v>0.89861111111111103</v>
      </c>
      <c r="G165" s="4" t="s">
        <v>55</v>
      </c>
      <c r="H165" s="10">
        <f>VLOOKUP(G165,$M$2:$N$2,2)</f>
        <v>30000</v>
      </c>
    </row>
    <row r="166" spans="1:8" x14ac:dyDescent="0.25">
      <c r="A166" s="4">
        <v>164</v>
      </c>
      <c r="B166" s="2">
        <v>40772158</v>
      </c>
      <c r="C166" s="14" t="s">
        <v>61</v>
      </c>
      <c r="D166" s="13" t="s">
        <v>60</v>
      </c>
      <c r="E166" s="12">
        <v>46170</v>
      </c>
      <c r="F166" s="11">
        <v>0.6430555555555556</v>
      </c>
      <c r="G166" s="4" t="s">
        <v>55</v>
      </c>
      <c r="H166" s="10">
        <f>VLOOKUP(G166,$M$2:$N$2,2)</f>
        <v>30000</v>
      </c>
    </row>
    <row r="167" spans="1:8" x14ac:dyDescent="0.25">
      <c r="A167" s="4">
        <v>165</v>
      </c>
      <c r="B167" s="2">
        <v>1005425712</v>
      </c>
      <c r="C167" s="14" t="s">
        <v>59</v>
      </c>
      <c r="D167" s="13" t="s">
        <v>58</v>
      </c>
      <c r="E167" s="12">
        <v>46170</v>
      </c>
      <c r="F167" s="11">
        <v>0.88124999999999998</v>
      </c>
      <c r="G167" s="4" t="s">
        <v>55</v>
      </c>
      <c r="H167" s="10">
        <f>VLOOKUP(G167,$M$2:$N$2,2)</f>
        <v>30000</v>
      </c>
    </row>
    <row r="168" spans="1:8" x14ac:dyDescent="0.25">
      <c r="A168" s="15">
        <v>166</v>
      </c>
      <c r="B168" s="2">
        <v>25670435</v>
      </c>
      <c r="C168" s="14" t="s">
        <v>57</v>
      </c>
      <c r="D168" s="13" t="s">
        <v>56</v>
      </c>
      <c r="E168" s="12">
        <v>46170</v>
      </c>
      <c r="F168" s="11">
        <v>0.64513888888888893</v>
      </c>
      <c r="G168" s="4" t="s">
        <v>55</v>
      </c>
      <c r="H168" s="10">
        <f>VLOOKUP(G168,$M$2:$N$2,2)</f>
        <v>30000</v>
      </c>
    </row>
    <row r="169" spans="1:8" x14ac:dyDescent="0.25">
      <c r="B169" s="8" t="s">
        <v>54</v>
      </c>
      <c r="C169" s="4" t="s">
        <v>53</v>
      </c>
      <c r="D169" s="7" t="s">
        <v>52</v>
      </c>
      <c r="E169" s="6">
        <v>46171</v>
      </c>
      <c r="F169" s="5">
        <v>7.9861111111111105E-2</v>
      </c>
      <c r="G169" s="4" t="s">
        <v>18</v>
      </c>
      <c r="H169" s="3">
        <f t="shared" ref="H169:H184" si="6">VLOOKUP(G169,$M$2:$N$5,2)</f>
        <v>20000</v>
      </c>
    </row>
    <row r="170" spans="1:8" x14ac:dyDescent="0.25">
      <c r="B170" s="8">
        <v>31694616</v>
      </c>
      <c r="C170" s="4" t="s">
        <v>51</v>
      </c>
      <c r="D170" s="7" t="s">
        <v>50</v>
      </c>
      <c r="E170" s="6">
        <v>46170</v>
      </c>
      <c r="F170" s="5">
        <v>0.750694444444444</v>
      </c>
      <c r="G170" s="4" t="s">
        <v>18</v>
      </c>
      <c r="H170" s="3">
        <f t="shared" si="6"/>
        <v>20000</v>
      </c>
    </row>
    <row r="171" spans="1:8" x14ac:dyDescent="0.25">
      <c r="B171" s="9">
        <v>447468511370</v>
      </c>
      <c r="C171" s="4" t="s">
        <v>49</v>
      </c>
      <c r="D171" s="7" t="s">
        <v>48</v>
      </c>
      <c r="E171" s="6">
        <v>46171</v>
      </c>
      <c r="F171" s="5">
        <v>7.9166666666666705E-2</v>
      </c>
      <c r="G171" s="4" t="s">
        <v>18</v>
      </c>
      <c r="H171" s="3">
        <f t="shared" si="6"/>
        <v>20000</v>
      </c>
    </row>
    <row r="172" spans="1:8" x14ac:dyDescent="0.25">
      <c r="B172" s="8" t="s">
        <v>47</v>
      </c>
      <c r="C172" s="4" t="s">
        <v>46</v>
      </c>
      <c r="D172" s="7" t="s">
        <v>45</v>
      </c>
      <c r="E172" s="6">
        <v>46171</v>
      </c>
      <c r="F172" s="5">
        <v>7.8472222222222193E-2</v>
      </c>
      <c r="G172" s="4" t="s">
        <v>18</v>
      </c>
      <c r="H172" s="3">
        <f t="shared" si="6"/>
        <v>20000</v>
      </c>
    </row>
    <row r="173" spans="1:8" x14ac:dyDescent="0.25">
      <c r="B173" s="8">
        <v>43701540</v>
      </c>
      <c r="C173" s="4" t="s">
        <v>44</v>
      </c>
      <c r="D173" s="7" t="s">
        <v>43</v>
      </c>
      <c r="E173" s="6">
        <v>46175</v>
      </c>
      <c r="F173" s="5">
        <v>0.57361111111111096</v>
      </c>
      <c r="G173" s="4" t="s">
        <v>18</v>
      </c>
      <c r="H173" s="3">
        <f t="shared" si="6"/>
        <v>20000</v>
      </c>
    </row>
    <row r="174" spans="1:8" x14ac:dyDescent="0.25">
      <c r="B174" s="8">
        <v>3637716</v>
      </c>
      <c r="C174" s="4" t="s">
        <v>42</v>
      </c>
      <c r="D174" s="7" t="s">
        <v>41</v>
      </c>
      <c r="E174" s="6">
        <v>46171</v>
      </c>
      <c r="F174" s="5">
        <v>0.99583333333333302</v>
      </c>
      <c r="G174" s="4" t="s">
        <v>18</v>
      </c>
      <c r="H174" s="3">
        <f t="shared" si="6"/>
        <v>20000</v>
      </c>
    </row>
    <row r="175" spans="1:8" x14ac:dyDescent="0.25">
      <c r="B175" s="8" t="s">
        <v>40</v>
      </c>
      <c r="C175" s="4" t="s">
        <v>39</v>
      </c>
      <c r="D175" s="7" t="s">
        <v>38</v>
      </c>
      <c r="E175" s="6">
        <v>46170</v>
      </c>
      <c r="F175" s="5">
        <v>0.57847222222222205</v>
      </c>
      <c r="G175" s="4" t="s">
        <v>18</v>
      </c>
      <c r="H175" s="3">
        <f t="shared" si="6"/>
        <v>20000</v>
      </c>
    </row>
    <row r="176" spans="1:8" x14ac:dyDescent="0.25">
      <c r="B176" s="8" t="s">
        <v>37</v>
      </c>
      <c r="C176" s="4" t="s">
        <v>36</v>
      </c>
      <c r="D176" s="7" t="s">
        <v>35</v>
      </c>
      <c r="E176" s="6">
        <v>46170</v>
      </c>
      <c r="F176" s="5">
        <v>0.57986111111111105</v>
      </c>
      <c r="G176" s="4" t="s">
        <v>18</v>
      </c>
      <c r="H176" s="3">
        <f t="shared" si="6"/>
        <v>20000</v>
      </c>
    </row>
    <row r="177" spans="2:8" x14ac:dyDescent="0.25">
      <c r="B177" s="8">
        <v>46450724</v>
      </c>
      <c r="C177" s="4" t="s">
        <v>34</v>
      </c>
      <c r="D177" s="7" t="s">
        <v>33</v>
      </c>
      <c r="E177" s="6">
        <v>46171</v>
      </c>
      <c r="F177" s="5">
        <v>0.94652777777777797</v>
      </c>
      <c r="G177" s="4" t="s">
        <v>18</v>
      </c>
      <c r="H177" s="3">
        <f t="shared" si="6"/>
        <v>20000</v>
      </c>
    </row>
    <row r="178" spans="2:8" x14ac:dyDescent="0.25">
      <c r="B178" s="8">
        <v>63318746</v>
      </c>
      <c r="C178" s="4" t="s">
        <v>32</v>
      </c>
      <c r="D178" s="7" t="s">
        <v>31</v>
      </c>
      <c r="E178" s="6">
        <v>46170</v>
      </c>
      <c r="F178" s="5">
        <v>0.73194444444444395</v>
      </c>
      <c r="G178" s="4" t="s">
        <v>18</v>
      </c>
      <c r="H178" s="3">
        <f t="shared" si="6"/>
        <v>20000</v>
      </c>
    </row>
    <row r="179" spans="2:8" x14ac:dyDescent="0.25">
      <c r="B179" s="8">
        <v>684224366</v>
      </c>
      <c r="C179" s="4" t="s">
        <v>30</v>
      </c>
      <c r="D179" s="7" t="s">
        <v>29</v>
      </c>
      <c r="E179" s="6">
        <v>46171</v>
      </c>
      <c r="F179" s="5">
        <v>0.98680555555555605</v>
      </c>
      <c r="G179" s="4" t="s">
        <v>18</v>
      </c>
      <c r="H179" s="3">
        <f t="shared" si="6"/>
        <v>20000</v>
      </c>
    </row>
    <row r="180" spans="2:8" x14ac:dyDescent="0.25">
      <c r="B180" s="8">
        <v>35400439</v>
      </c>
      <c r="C180" s="4" t="s">
        <v>28</v>
      </c>
      <c r="D180" s="7" t="s">
        <v>27</v>
      </c>
      <c r="E180" s="6">
        <v>46170</v>
      </c>
      <c r="F180" s="5">
        <v>0.73263888888888895</v>
      </c>
      <c r="G180" s="4" t="s">
        <v>18</v>
      </c>
      <c r="H180" s="3">
        <f t="shared" si="6"/>
        <v>20000</v>
      </c>
    </row>
    <row r="181" spans="2:8" x14ac:dyDescent="0.25">
      <c r="B181" s="8">
        <v>633330974</v>
      </c>
      <c r="C181" s="4" t="s">
        <v>26</v>
      </c>
      <c r="D181" s="7" t="s">
        <v>25</v>
      </c>
      <c r="E181" s="6">
        <v>46170</v>
      </c>
      <c r="F181" s="5">
        <v>0.72638888888888897</v>
      </c>
      <c r="G181" s="4" t="s">
        <v>18</v>
      </c>
      <c r="H181" s="3">
        <f t="shared" si="6"/>
        <v>20000</v>
      </c>
    </row>
    <row r="182" spans="2:8" x14ac:dyDescent="0.25">
      <c r="B182" s="8">
        <v>1005258488</v>
      </c>
      <c r="C182" s="4" t="s">
        <v>24</v>
      </c>
      <c r="D182" s="7" t="s">
        <v>23</v>
      </c>
      <c r="E182" s="6">
        <v>46170</v>
      </c>
      <c r="F182" s="5">
        <v>0.72708333333333297</v>
      </c>
      <c r="G182" s="4" t="s">
        <v>18</v>
      </c>
      <c r="H182" s="3">
        <f t="shared" si="6"/>
        <v>20000</v>
      </c>
    </row>
    <row r="183" spans="2:8" x14ac:dyDescent="0.25">
      <c r="B183" s="8">
        <v>91232235</v>
      </c>
      <c r="C183" s="4" t="s">
        <v>22</v>
      </c>
      <c r="D183" s="7" t="s">
        <v>21</v>
      </c>
      <c r="E183" s="6">
        <v>46170</v>
      </c>
      <c r="F183" s="5">
        <v>0.73124999999999996</v>
      </c>
      <c r="G183" s="4" t="s">
        <v>18</v>
      </c>
      <c r="H183" s="3">
        <f t="shared" si="6"/>
        <v>20000</v>
      </c>
    </row>
    <row r="184" spans="2:8" x14ac:dyDescent="0.25">
      <c r="B184" s="8">
        <v>63340579</v>
      </c>
      <c r="C184" s="4" t="s">
        <v>20</v>
      </c>
      <c r="D184" s="7" t="s">
        <v>19</v>
      </c>
      <c r="E184" s="6">
        <v>46170</v>
      </c>
      <c r="F184" s="5">
        <v>0.72986111111111096</v>
      </c>
      <c r="G184" s="4" t="s">
        <v>18</v>
      </c>
      <c r="H184" s="3">
        <f t="shared" si="6"/>
        <v>20000</v>
      </c>
    </row>
    <row r="185" spans="2:8" x14ac:dyDescent="0.25">
      <c r="B185" s="8">
        <v>1030599696</v>
      </c>
      <c r="C185" s="4" t="s">
        <v>17</v>
      </c>
      <c r="D185" s="7" t="s">
        <v>16</v>
      </c>
      <c r="E185" s="6">
        <v>46150</v>
      </c>
      <c r="F185" s="5">
        <v>5.4861111111111097E-2</v>
      </c>
      <c r="G185" s="4" t="s">
        <v>0</v>
      </c>
      <c r="H185" s="3">
        <v>200000</v>
      </c>
    </row>
    <row r="186" spans="2:8" x14ac:dyDescent="0.25">
      <c r="B186" s="8" t="s">
        <v>15</v>
      </c>
      <c r="C186" s="4" t="s">
        <v>14</v>
      </c>
      <c r="D186" s="7" t="s">
        <v>13</v>
      </c>
      <c r="E186" s="6">
        <v>46168</v>
      </c>
      <c r="F186" s="5">
        <v>0.499305555555556</v>
      </c>
      <c r="G186" s="4" t="s">
        <v>0</v>
      </c>
      <c r="H186" s="3">
        <v>200000</v>
      </c>
    </row>
    <row r="187" spans="2:8" x14ac:dyDescent="0.25">
      <c r="B187" s="8" t="s">
        <v>12</v>
      </c>
      <c r="C187" s="4" t="s">
        <v>11</v>
      </c>
      <c r="D187" s="7" t="s">
        <v>10</v>
      </c>
      <c r="E187" s="6">
        <v>46170</v>
      </c>
      <c r="F187" s="5">
        <v>0.67708333333333304</v>
      </c>
      <c r="G187" s="4" t="s">
        <v>0</v>
      </c>
      <c r="H187" s="3">
        <v>200000</v>
      </c>
    </row>
    <row r="188" spans="2:8" x14ac:dyDescent="0.25">
      <c r="B188" s="8" t="s">
        <v>9</v>
      </c>
      <c r="C188" s="4" t="s">
        <v>8</v>
      </c>
      <c r="D188" s="7">
        <v>8218</v>
      </c>
      <c r="E188" s="6">
        <v>46170</v>
      </c>
      <c r="F188" s="5">
        <v>0.5</v>
      </c>
      <c r="G188" s="4" t="s">
        <v>0</v>
      </c>
      <c r="H188" s="3">
        <v>200000</v>
      </c>
    </row>
    <row r="189" spans="2:8" x14ac:dyDescent="0.25">
      <c r="B189" s="8">
        <v>72169827</v>
      </c>
      <c r="C189" s="4" t="s">
        <v>7</v>
      </c>
      <c r="D189" s="7" t="s">
        <v>6</v>
      </c>
      <c r="E189" s="6">
        <v>46170</v>
      </c>
      <c r="F189" s="5">
        <v>0.53958333333333297</v>
      </c>
      <c r="G189" s="4" t="s">
        <v>0</v>
      </c>
      <c r="H189" s="3">
        <v>200000</v>
      </c>
    </row>
    <row r="190" spans="2:8" x14ac:dyDescent="0.25">
      <c r="B190" s="8" t="s">
        <v>5</v>
      </c>
      <c r="C190" s="4" t="s">
        <v>4</v>
      </c>
      <c r="D190" s="7" t="s">
        <v>3</v>
      </c>
      <c r="E190" s="6">
        <v>46166</v>
      </c>
      <c r="F190" s="5">
        <v>0.389583333333333</v>
      </c>
      <c r="G190" s="4" t="s">
        <v>0</v>
      </c>
      <c r="H190" s="3">
        <v>200000</v>
      </c>
    </row>
    <row r="191" spans="2:8" x14ac:dyDescent="0.25">
      <c r="B191" s="8">
        <v>30582301</v>
      </c>
      <c r="C191" s="4" t="s">
        <v>2</v>
      </c>
      <c r="D191" s="7" t="s">
        <v>1</v>
      </c>
      <c r="E191" s="6">
        <v>46145</v>
      </c>
      <c r="F191" s="5">
        <v>0.75486111111111098</v>
      </c>
      <c r="G191" s="4" t="s">
        <v>0</v>
      </c>
      <c r="H191" s="3">
        <v>200000</v>
      </c>
    </row>
  </sheetData>
  <autoFilter ref="A2:H165" xr:uid="{00000000-0009-0000-0000-000001000000}"/>
  <mergeCells count="2">
    <mergeCell ref="A1:H1"/>
    <mergeCell ref="M6:O6"/>
  </mergeCells>
  <conditionalFormatting sqref="D3:D165">
    <cfRule type="duplicateValues" dxfId="2" priority="3"/>
  </conditionalFormatting>
  <conditionalFormatting sqref="D169:D184">
    <cfRule type="duplicateValues" dxfId="1" priority="2"/>
  </conditionalFormatting>
  <conditionalFormatting sqref="D185:D191">
    <cfRule type="duplicateValues" dxfId="0" priority="1"/>
  </conditionalFormatting>
  <dataValidations count="1">
    <dataValidation type="list" allowBlank="1" showInputMessage="1" showErrorMessage="1" sqref="G3:G191" xr:uid="{00000000-0002-0000-0100-000000000000}">
      <formula1>$M$2:$M$5</formula1>
    </dataValidation>
  </dataValidations>
  <hyperlinks>
    <hyperlink ref="B103" r:id="rId1" display="1013461776" xr:uid="{761EA93C-8A74-4574-B7EB-97B376A7E4D4}"/>
  </hyperlink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TARJETA INFINITY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Jeovani Orlando Torrado Sanchez</dc:creator>
  <cp:lastModifiedBy>Jeovani Orlando Torrado Sanchez</cp:lastModifiedBy>
  <dcterms:created xsi:type="dcterms:W3CDTF">2026-06-07T00:48:03Z</dcterms:created>
  <dcterms:modified xsi:type="dcterms:W3CDTF">2026-06-07T03:45:03Z</dcterms:modified>
</cp:coreProperties>
</file>